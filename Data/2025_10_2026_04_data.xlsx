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tephaneroger/Documents/Hotel_Dashboard/Data/"/>
    </mc:Choice>
  </mc:AlternateContent>
  <xr:revisionPtr revIDLastSave="0" documentId="8_{9CD3DEFB-5DB8-074B-9787-607552773051}" xr6:coauthVersionLast="47" xr6:coauthVersionMax="47" xr10:uidLastSave="{00000000-0000-0000-0000-000000000000}"/>
  <bookViews>
    <workbookView xWindow="0" yWindow="760" windowWidth="28800" windowHeight="16340" xr2:uid="{4A8D45D2-21C7-4842-BFAE-95F3DC82D03A}"/>
  </bookViews>
  <sheets>
    <sheet name="総表" sheetId="1" r:id="rId1"/>
    <sheet name="2026年4月予約一覧表" sheetId="14" r:id="rId2"/>
    <sheet name="2026年月4分析データ表" sheetId="15" r:id="rId3"/>
    <sheet name="2025年10月予約一覧表" sheetId="2" r:id="rId4"/>
    <sheet name="2025年10月分析データ表" sheetId="10" r:id="rId5"/>
    <sheet name="2025年11月予約一覧表" sheetId="3" r:id="rId6"/>
    <sheet name="2025年11月分析データ表" sheetId="8" r:id="rId7"/>
    <sheet name="2025年12月予約一覧表" sheetId="4" r:id="rId8"/>
    <sheet name="2025年12月分析データ表" sheetId="9" r:id="rId9"/>
    <sheet name="2026年１月予約一覧表" sheetId="7" r:id="rId10"/>
    <sheet name="2026年1月分析データ表" sheetId="11" r:id="rId11"/>
    <sheet name="2026年2月予約一覧表" sheetId="6" r:id="rId12"/>
    <sheet name="2026年２月分析データ表" sheetId="12" r:id="rId13"/>
    <sheet name="2026年３月予約一覧表" sheetId="5" r:id="rId14"/>
    <sheet name="2026年3月分析データ表" sheetId="13" r:id="rId15"/>
  </sheets>
  <externalReferences>
    <externalReference r:id="rId16"/>
    <externalReference r:id="rId17"/>
  </externalReferences>
  <definedNames>
    <definedName name="_xlnm._FilterDatabase" localSheetId="3" hidden="1">'2025年10月予約一覧表'!$B$3:$XEV$76</definedName>
    <definedName name="_xlnm._FilterDatabase" localSheetId="5" hidden="1">'2025年11月予約一覧表'!$A$3:$XET$86</definedName>
    <definedName name="_xlnm._FilterDatabase" localSheetId="7" hidden="1">'2025年12月予約一覧表'!$B$3:$P$3</definedName>
    <definedName name="_xlnm._FilterDatabase" localSheetId="11" hidden="1">'2026年2月予約一覧表'!$A$3:$Z$60</definedName>
    <definedName name="_xlnm._FilterDatabase" localSheetId="1" hidden="1">'2026年4月予約一覧表'!$A$2:$X$64</definedName>
    <definedName name="_xlnm.Print_Area" localSheetId="4">'2025年10月分析データ表'!$B$2:$W$29</definedName>
    <definedName name="_xlnm.Print_Area" localSheetId="5">'2025年11月予約一覧表'!$B$2:$P$86</definedName>
    <definedName name="_xlnm.Print_Area" localSheetId="6">'2025年11月分析データ表'!$B$2:$W$29</definedName>
    <definedName name="_xlnm.Print_Area" localSheetId="8">'2025年12月分析データ表'!$B$2:$W$29</definedName>
    <definedName name="_xlnm.Print_Area" localSheetId="10">'2026年1月分析データ表'!$B$2:$W$29</definedName>
    <definedName name="_xlnm.Print_Area" localSheetId="12">'2026年２月分析データ表'!$B$2:$W$29</definedName>
    <definedName name="_xlnm.Print_Area" localSheetId="14">'2026年3月分析データ表'!$B$2:$W$29</definedName>
    <definedName name="_xlnm.Print_Area" localSheetId="2">'2026年月4分析データ表'!$B$2:$W$29</definedName>
    <definedName name="_xlnm.Print_Area" localSheetId="0">総表!$G$3:$AS$29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5" l="1"/>
  <c r="P8" i="15"/>
  <c r="P6" i="15"/>
  <c r="Q6" i="15"/>
  <c r="P3" i="15"/>
  <c r="P11" i="15"/>
  <c r="S11" i="15"/>
  <c r="S10" i="15"/>
  <c r="S8" i="15"/>
  <c r="S6" i="15"/>
  <c r="S3" i="15"/>
  <c r="AC29" i="1"/>
  <c r="AB29" i="1"/>
  <c r="AA17" i="1" s="1"/>
  <c r="AA29" i="1"/>
  <c r="AA18" i="1"/>
  <c r="X17" i="1"/>
  <c r="X18" i="1"/>
  <c r="C13" i="15"/>
  <c r="C13" i="10"/>
  <c r="AA6" i="1"/>
  <c r="X6" i="1"/>
  <c r="W6" i="15"/>
  <c r="W3" i="15"/>
  <c r="K3" i="15"/>
  <c r="F1" i="14"/>
  <c r="C14" i="15" s="1"/>
  <c r="C29" i="15" s="1"/>
  <c r="F12" i="15"/>
  <c r="H10" i="15" s="1"/>
  <c r="N3" i="15"/>
  <c r="T3" i="15"/>
  <c r="U3" i="15"/>
  <c r="K6" i="15"/>
  <c r="N6" i="15"/>
  <c r="U6" i="15"/>
  <c r="K8" i="15"/>
  <c r="N8" i="15"/>
  <c r="W8" i="15" s="1"/>
  <c r="T8" i="15"/>
  <c r="U8" i="15"/>
  <c r="K10" i="15"/>
  <c r="T10" i="15"/>
  <c r="U10" i="15"/>
  <c r="K11" i="15"/>
  <c r="T11" i="15"/>
  <c r="U11" i="15"/>
  <c r="G12" i="15"/>
  <c r="L12" i="15"/>
  <c r="M12" i="15"/>
  <c r="O12" i="15"/>
  <c r="Q12" i="15"/>
  <c r="R12" i="15"/>
  <c r="C22" i="15"/>
  <c r="A1" i="14"/>
  <c r="C16" i="15" s="1"/>
  <c r="C28" i="15" s="1"/>
  <c r="I1" i="14"/>
  <c r="L1" i="14"/>
  <c r="M1" i="14"/>
  <c r="O1" i="14"/>
  <c r="P1" i="14"/>
  <c r="Q1" i="14"/>
  <c r="R1" i="14"/>
  <c r="V1" i="14"/>
  <c r="S3" i="14"/>
  <c r="X3" i="14"/>
  <c r="S4" i="14"/>
  <c r="T4" i="14" s="1"/>
  <c r="X4" i="14"/>
  <c r="S5" i="14"/>
  <c r="T5" i="14" s="1"/>
  <c r="X5" i="14"/>
  <c r="N6" i="14"/>
  <c r="S6" i="14" s="1"/>
  <c r="T6" i="14" s="1"/>
  <c r="X6" i="14"/>
  <c r="S7" i="14"/>
  <c r="T7" i="14" s="1"/>
  <c r="X7" i="14"/>
  <c r="S8" i="14"/>
  <c r="T8" i="14" s="1"/>
  <c r="X8" i="14"/>
  <c r="S9" i="14"/>
  <c r="T9" i="14" s="1"/>
  <c r="X9" i="14"/>
  <c r="S10" i="14"/>
  <c r="T10" i="14" s="1"/>
  <c r="X10" i="14"/>
  <c r="S11" i="14"/>
  <c r="T11" i="14" s="1"/>
  <c r="X11" i="14"/>
  <c r="S12" i="14"/>
  <c r="T12" i="14" s="1"/>
  <c r="X12" i="14"/>
  <c r="S13" i="14"/>
  <c r="T13" i="14" s="1"/>
  <c r="X13" i="14"/>
  <c r="S14" i="14"/>
  <c r="T14" i="14" s="1"/>
  <c r="X14" i="14"/>
  <c r="N15" i="14"/>
  <c r="S15" i="14"/>
  <c r="T15" i="14" s="1"/>
  <c r="X15" i="14"/>
  <c r="N16" i="14"/>
  <c r="S16" i="14" s="1"/>
  <c r="T16" i="14" s="1"/>
  <c r="X16" i="14"/>
  <c r="S17" i="14"/>
  <c r="T17" i="14" s="1"/>
  <c r="X17" i="14"/>
  <c r="S18" i="14"/>
  <c r="T18" i="14" s="1"/>
  <c r="X18" i="14"/>
  <c r="S19" i="14"/>
  <c r="T19" i="14" s="1"/>
  <c r="X19" i="14"/>
  <c r="S20" i="14"/>
  <c r="T20" i="14" s="1"/>
  <c r="X20" i="14"/>
  <c r="S21" i="14"/>
  <c r="T21" i="14" s="1"/>
  <c r="X21" i="14"/>
  <c r="S22" i="14"/>
  <c r="T22" i="14" s="1"/>
  <c r="X22" i="14"/>
  <c r="S23" i="14"/>
  <c r="T23" i="14" s="1"/>
  <c r="X23" i="14"/>
  <c r="S24" i="14"/>
  <c r="T24" i="14" s="1"/>
  <c r="X24" i="14"/>
  <c r="S25" i="14"/>
  <c r="T25" i="14" s="1"/>
  <c r="X25" i="14"/>
  <c r="S26" i="14"/>
  <c r="T26" i="14" s="1"/>
  <c r="X26" i="14"/>
  <c r="S27" i="14"/>
  <c r="T27" i="14" s="1"/>
  <c r="X27" i="14"/>
  <c r="S28" i="14"/>
  <c r="T28" i="14" s="1"/>
  <c r="X28" i="14"/>
  <c r="S29" i="14"/>
  <c r="T29" i="14" s="1"/>
  <c r="X29" i="14"/>
  <c r="S30" i="14"/>
  <c r="T30" i="14" s="1"/>
  <c r="X30" i="14"/>
  <c r="S31" i="14"/>
  <c r="T31" i="14" s="1"/>
  <c r="X31" i="14"/>
  <c r="S32" i="14"/>
  <c r="T32" i="14" s="1"/>
  <c r="X32" i="14"/>
  <c r="S33" i="14"/>
  <c r="T33" i="14"/>
  <c r="X33" i="14"/>
  <c r="S34" i="14"/>
  <c r="T34" i="14" s="1"/>
  <c r="X34" i="14"/>
  <c r="S35" i="14"/>
  <c r="T35" i="14" s="1"/>
  <c r="X35" i="14"/>
  <c r="S36" i="14"/>
  <c r="T36" i="14" s="1"/>
  <c r="X36" i="14"/>
  <c r="S37" i="14"/>
  <c r="T37" i="14" s="1"/>
  <c r="X37" i="14"/>
  <c r="S38" i="14"/>
  <c r="T38" i="14" s="1"/>
  <c r="X38" i="14"/>
  <c r="S39" i="14"/>
  <c r="T39" i="14" s="1"/>
  <c r="X39" i="14"/>
  <c r="S40" i="14"/>
  <c r="T40" i="14" s="1"/>
  <c r="X40" i="14"/>
  <c r="S41" i="14"/>
  <c r="T41" i="14" s="1"/>
  <c r="X41" i="14"/>
  <c r="S42" i="14"/>
  <c r="T42" i="14" s="1"/>
  <c r="X42" i="14"/>
  <c r="S43" i="14"/>
  <c r="T43" i="14" s="1"/>
  <c r="X43" i="14"/>
  <c r="S44" i="14"/>
  <c r="T44" i="14" s="1"/>
  <c r="X44" i="14"/>
  <c r="S45" i="14"/>
  <c r="T45" i="14" s="1"/>
  <c r="X45" i="14"/>
  <c r="S46" i="14"/>
  <c r="T46" i="14" s="1"/>
  <c r="X46" i="14"/>
  <c r="S47" i="14"/>
  <c r="T47" i="14" s="1"/>
  <c r="X47" i="14"/>
  <c r="S48" i="14"/>
  <c r="T48" i="14" s="1"/>
  <c r="X48" i="14"/>
  <c r="S49" i="14"/>
  <c r="T49" i="14" s="1"/>
  <c r="X49" i="14"/>
  <c r="S50" i="14"/>
  <c r="T50" i="14" s="1"/>
  <c r="X50" i="14"/>
  <c r="S51" i="14"/>
  <c r="T51" i="14" s="1"/>
  <c r="X51" i="14"/>
  <c r="S52" i="14"/>
  <c r="T52" i="14" s="1"/>
  <c r="X52" i="14"/>
  <c r="S53" i="14"/>
  <c r="T53" i="14" s="1"/>
  <c r="X53" i="14"/>
  <c r="S54" i="14"/>
  <c r="T54" i="14" s="1"/>
  <c r="X54" i="14"/>
  <c r="S55" i="14"/>
  <c r="T55" i="14" s="1"/>
  <c r="X55" i="14"/>
  <c r="S56" i="14"/>
  <c r="T56" i="14" s="1"/>
  <c r="X56" i="14"/>
  <c r="S57" i="14"/>
  <c r="T57" i="14" s="1"/>
  <c r="X57" i="14"/>
  <c r="S58" i="14"/>
  <c r="T58" i="14" s="1"/>
  <c r="X58" i="14"/>
  <c r="S59" i="14"/>
  <c r="T59" i="14" s="1"/>
  <c r="X59" i="14"/>
  <c r="T60" i="14"/>
  <c r="X60" i="14"/>
  <c r="S61" i="14"/>
  <c r="T61" i="14" s="1"/>
  <c r="X61" i="14"/>
  <c r="S62" i="14"/>
  <c r="T62" i="14" s="1"/>
  <c r="X62" i="14"/>
  <c r="S63" i="14"/>
  <c r="T63" i="14" s="1"/>
  <c r="X63" i="14"/>
  <c r="S64" i="14"/>
  <c r="T64" i="14" s="1"/>
  <c r="X64" i="14"/>
  <c r="C10" i="15" l="1"/>
  <c r="C23" i="15"/>
  <c r="X1" i="14"/>
  <c r="C11" i="15" s="1"/>
  <c r="H5" i="15"/>
  <c r="H12" i="15"/>
  <c r="H8" i="15"/>
  <c r="H6" i="15"/>
  <c r="H7" i="15"/>
  <c r="H9" i="15"/>
  <c r="W10" i="15"/>
  <c r="T6" i="15"/>
  <c r="V6" i="15"/>
  <c r="W11" i="15"/>
  <c r="H11" i="15"/>
  <c r="S1" i="14"/>
  <c r="T3" i="14"/>
  <c r="T1" i="14" s="1"/>
  <c r="N1" i="14"/>
  <c r="C9" i="15" s="1"/>
  <c r="AA4" i="1" s="1"/>
  <c r="C27" i="15" l="1"/>
  <c r="C26" i="15"/>
  <c r="C25" i="15"/>
  <c r="C24" i="15"/>
  <c r="V10" i="15"/>
  <c r="V11" i="15"/>
  <c r="V8" i="15"/>
  <c r="S12" i="15"/>
  <c r="V3" i="15"/>
  <c r="P6" i="8"/>
  <c r="AS5" i="1"/>
  <c r="Z29" i="1" l="1"/>
  <c r="Z23" i="1"/>
  <c r="Z24" i="1"/>
  <c r="Z25" i="1"/>
  <c r="Z26" i="1"/>
  <c r="Z27" i="1"/>
  <c r="Z28" i="1"/>
  <c r="Z22" i="1"/>
  <c r="Y29" i="1"/>
  <c r="Y23" i="1"/>
  <c r="Y24" i="1"/>
  <c r="Y25" i="1"/>
  <c r="Y26" i="1"/>
  <c r="Y27" i="1"/>
  <c r="Y28" i="1"/>
  <c r="Y22" i="1"/>
  <c r="X29" i="1"/>
  <c r="X23" i="1"/>
  <c r="X24" i="1"/>
  <c r="X25" i="1"/>
  <c r="X26" i="1"/>
  <c r="X27" i="1"/>
  <c r="X28" i="1"/>
  <c r="X22" i="1"/>
  <c r="H13" i="13"/>
  <c r="H13" i="12"/>
  <c r="H12" i="13"/>
  <c r="H11" i="13"/>
  <c r="H10" i="13"/>
  <c r="H9" i="13"/>
  <c r="H8" i="13"/>
  <c r="H7" i="13"/>
  <c r="H6" i="13"/>
  <c r="H5" i="13"/>
  <c r="Z21" i="1"/>
  <c r="H5" i="12"/>
  <c r="Y21" i="1"/>
  <c r="X21" i="1"/>
  <c r="G13" i="13"/>
  <c r="F13" i="13"/>
  <c r="Z20" i="1"/>
  <c r="Y20" i="1"/>
  <c r="X20" i="1"/>
  <c r="X16" i="1"/>
  <c r="X15" i="1"/>
  <c r="X14" i="1"/>
  <c r="X13" i="1"/>
  <c r="X12" i="1"/>
  <c r="X11" i="1"/>
  <c r="X10" i="1"/>
  <c r="X9" i="1"/>
  <c r="X8" i="1"/>
  <c r="X7" i="1"/>
  <c r="X4" i="1"/>
  <c r="C16" i="13"/>
  <c r="C14" i="13"/>
  <c r="C11" i="13"/>
  <c r="C10" i="13"/>
  <c r="C9" i="13"/>
  <c r="H2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4" i="5"/>
  <c r="E2" i="5" s="1"/>
  <c r="C22" i="13"/>
  <c r="S11" i="13" s="1"/>
  <c r="C28" i="13"/>
  <c r="C29" i="13"/>
  <c r="R12" i="13"/>
  <c r="Q12" i="13"/>
  <c r="O12" i="13"/>
  <c r="M12" i="13"/>
  <c r="L12" i="13"/>
  <c r="U11" i="13"/>
  <c r="T11" i="13"/>
  <c r="K11" i="13"/>
  <c r="U10" i="13"/>
  <c r="T10" i="13"/>
  <c r="K10" i="13"/>
  <c r="U8" i="13"/>
  <c r="T8" i="13"/>
  <c r="N8" i="13"/>
  <c r="K8" i="13"/>
  <c r="U6" i="13"/>
  <c r="T6" i="13"/>
  <c r="N6" i="13"/>
  <c r="K6" i="13"/>
  <c r="U3" i="13"/>
  <c r="T3" i="13"/>
  <c r="N3" i="13"/>
  <c r="K3" i="13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M47" i="5"/>
  <c r="P47" i="5" s="1"/>
  <c r="M46" i="5"/>
  <c r="P46" i="5" s="1"/>
  <c r="M45" i="5"/>
  <c r="P45" i="5" s="1"/>
  <c r="M44" i="5"/>
  <c r="P44" i="5" s="1"/>
  <c r="M43" i="5"/>
  <c r="P43" i="5" s="1"/>
  <c r="M42" i="5"/>
  <c r="P42" i="5" s="1"/>
  <c r="M41" i="5"/>
  <c r="P41" i="5" s="1"/>
  <c r="M40" i="5"/>
  <c r="P40" i="5" s="1"/>
  <c r="M39" i="5"/>
  <c r="P39" i="5" s="1"/>
  <c r="M38" i="5"/>
  <c r="P38" i="5" s="1"/>
  <c r="M37" i="5"/>
  <c r="P37" i="5" s="1"/>
  <c r="M36" i="5"/>
  <c r="P36" i="5" s="1"/>
  <c r="M35" i="5"/>
  <c r="P35" i="5" s="1"/>
  <c r="M34" i="5"/>
  <c r="P34" i="5" s="1"/>
  <c r="M33" i="5"/>
  <c r="P33" i="5" s="1"/>
  <c r="M32" i="5"/>
  <c r="P32" i="5" s="1"/>
  <c r="M31" i="5"/>
  <c r="P31" i="5" s="1"/>
  <c r="M30" i="5"/>
  <c r="P30" i="5" s="1"/>
  <c r="M29" i="5"/>
  <c r="P29" i="5" s="1"/>
  <c r="M28" i="5"/>
  <c r="P28" i="5" s="1"/>
  <c r="M27" i="5"/>
  <c r="P27" i="5" s="1"/>
  <c r="M26" i="5"/>
  <c r="P26" i="5" s="1"/>
  <c r="M25" i="5"/>
  <c r="P25" i="5" s="1"/>
  <c r="M24" i="5"/>
  <c r="P24" i="5" s="1"/>
  <c r="M23" i="5"/>
  <c r="P23" i="5" s="1"/>
  <c r="M22" i="5"/>
  <c r="P22" i="5" s="1"/>
  <c r="M21" i="5"/>
  <c r="P21" i="5" s="1"/>
  <c r="M20" i="5"/>
  <c r="P20" i="5" s="1"/>
  <c r="M19" i="5"/>
  <c r="P19" i="5" s="1"/>
  <c r="M18" i="5"/>
  <c r="P18" i="5" s="1"/>
  <c r="M17" i="5"/>
  <c r="P17" i="5" s="1"/>
  <c r="M16" i="5"/>
  <c r="P16" i="5" s="1"/>
  <c r="M15" i="5"/>
  <c r="P15" i="5" s="1"/>
  <c r="M14" i="5"/>
  <c r="P14" i="5" s="1"/>
  <c r="M13" i="5"/>
  <c r="P13" i="5" s="1"/>
  <c r="M12" i="5"/>
  <c r="P12" i="5" s="1"/>
  <c r="M11" i="5"/>
  <c r="P11" i="5" s="1"/>
  <c r="M10" i="5"/>
  <c r="P10" i="5" s="1"/>
  <c r="M9" i="5"/>
  <c r="P9" i="5" s="1"/>
  <c r="M8" i="5"/>
  <c r="P8" i="5" s="1"/>
  <c r="M7" i="5"/>
  <c r="P7" i="5" s="1"/>
  <c r="M6" i="5"/>
  <c r="P6" i="5" s="1"/>
  <c r="M5" i="5"/>
  <c r="P5" i="5" s="1"/>
  <c r="M4" i="5"/>
  <c r="Q2" i="5"/>
  <c r="O2" i="5"/>
  <c r="N2" i="5"/>
  <c r="L2" i="5"/>
  <c r="K2" i="5"/>
  <c r="D2" i="5"/>
  <c r="W21" i="1"/>
  <c r="W22" i="1"/>
  <c r="W23" i="1"/>
  <c r="W24" i="1"/>
  <c r="W25" i="1"/>
  <c r="W26" i="1"/>
  <c r="W27" i="1"/>
  <c r="W28" i="1"/>
  <c r="W29" i="1"/>
  <c r="V21" i="1"/>
  <c r="V22" i="1"/>
  <c r="V23" i="1"/>
  <c r="V24" i="1"/>
  <c r="V25" i="1"/>
  <c r="V26" i="1"/>
  <c r="V27" i="1"/>
  <c r="V28" i="1"/>
  <c r="V29" i="1"/>
  <c r="U21" i="1"/>
  <c r="U22" i="1"/>
  <c r="U23" i="1"/>
  <c r="U24" i="1"/>
  <c r="U25" i="1"/>
  <c r="U26" i="1"/>
  <c r="U27" i="1"/>
  <c r="U28" i="1"/>
  <c r="U29" i="1"/>
  <c r="F13" i="12"/>
  <c r="G13" i="12"/>
  <c r="V20" i="1"/>
  <c r="W20" i="1"/>
  <c r="U20" i="1"/>
  <c r="U16" i="1"/>
  <c r="U15" i="1"/>
  <c r="U14" i="1"/>
  <c r="U13" i="1"/>
  <c r="U12" i="1"/>
  <c r="U11" i="1"/>
  <c r="U10" i="1"/>
  <c r="U9" i="1"/>
  <c r="U8" i="1"/>
  <c r="U7" i="1"/>
  <c r="U4" i="1"/>
  <c r="U6" i="1" s="1"/>
  <c r="K3" i="12"/>
  <c r="H2" i="6"/>
  <c r="C16" i="12" s="1"/>
  <c r="C28" i="12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4" i="6"/>
  <c r="C22" i="12"/>
  <c r="S10" i="12" s="1"/>
  <c r="R12" i="12"/>
  <c r="Q12" i="12"/>
  <c r="O12" i="12"/>
  <c r="M12" i="12"/>
  <c r="L12" i="12"/>
  <c r="U11" i="12"/>
  <c r="T11" i="12"/>
  <c r="K11" i="12"/>
  <c r="U10" i="12"/>
  <c r="T10" i="12"/>
  <c r="K10" i="12"/>
  <c r="U8" i="12"/>
  <c r="T8" i="12"/>
  <c r="N8" i="12"/>
  <c r="W8" i="12" s="1"/>
  <c r="K8" i="12"/>
  <c r="U6" i="12"/>
  <c r="T6" i="12"/>
  <c r="N6" i="12"/>
  <c r="K6" i="12"/>
  <c r="U3" i="12"/>
  <c r="T3" i="12"/>
  <c r="N3" i="12"/>
  <c r="W3" i="12" s="1"/>
  <c r="W10" i="13" l="1"/>
  <c r="P3" i="13"/>
  <c r="W3" i="13"/>
  <c r="W6" i="13"/>
  <c r="C27" i="13"/>
  <c r="S3" i="13"/>
  <c r="W8" i="13"/>
  <c r="S6" i="13"/>
  <c r="P6" i="13" s="1"/>
  <c r="S8" i="13"/>
  <c r="S10" i="13"/>
  <c r="W11" i="13"/>
  <c r="M2" i="5"/>
  <c r="P4" i="5"/>
  <c r="P2" i="5" s="1"/>
  <c r="V11" i="13"/>
  <c r="P11" i="13"/>
  <c r="V6" i="13"/>
  <c r="C24" i="13"/>
  <c r="C25" i="13"/>
  <c r="C13" i="13"/>
  <c r="C23" i="13" s="1"/>
  <c r="H10" i="12"/>
  <c r="H9" i="12"/>
  <c r="U18" i="1"/>
  <c r="U17" i="1"/>
  <c r="E2" i="6"/>
  <c r="C11" i="12" s="1"/>
  <c r="P10" i="12"/>
  <c r="V10" i="12"/>
  <c r="P3" i="12"/>
  <c r="S3" i="12"/>
  <c r="W6" i="12"/>
  <c r="S8" i="12"/>
  <c r="S11" i="12"/>
  <c r="W10" i="12"/>
  <c r="C13" i="12"/>
  <c r="S6" i="12"/>
  <c r="W11" i="12"/>
  <c r="S12" i="13" l="1"/>
  <c r="V3" i="13"/>
  <c r="P10" i="13"/>
  <c r="V10" i="13"/>
  <c r="V8" i="13"/>
  <c r="P8" i="13"/>
  <c r="C26" i="13"/>
  <c r="V11" i="12"/>
  <c r="P11" i="12"/>
  <c r="P6" i="12"/>
  <c r="V6" i="12"/>
  <c r="V8" i="12"/>
  <c r="P8" i="12"/>
  <c r="V3" i="12"/>
  <c r="S12" i="12"/>
  <c r="T21" i="1" l="1"/>
  <c r="T22" i="1"/>
  <c r="T23" i="1"/>
  <c r="T24" i="1"/>
  <c r="T25" i="1"/>
  <c r="T26" i="1"/>
  <c r="T27" i="1"/>
  <c r="T28" i="1"/>
  <c r="T29" i="1"/>
  <c r="S21" i="1"/>
  <c r="S22" i="1"/>
  <c r="S23" i="1"/>
  <c r="S24" i="1"/>
  <c r="S25" i="1"/>
  <c r="S26" i="1"/>
  <c r="S27" i="1"/>
  <c r="S28" i="1"/>
  <c r="S29" i="1"/>
  <c r="R21" i="1"/>
  <c r="R22" i="1"/>
  <c r="R23" i="1"/>
  <c r="R24" i="1"/>
  <c r="R25" i="1"/>
  <c r="R26" i="1"/>
  <c r="R27" i="1"/>
  <c r="R28" i="1"/>
  <c r="R29" i="1"/>
  <c r="S20" i="1"/>
  <c r="T20" i="1"/>
  <c r="R20" i="1"/>
  <c r="R16" i="1"/>
  <c r="R15" i="1"/>
  <c r="R14" i="1"/>
  <c r="R13" i="1"/>
  <c r="R12" i="1"/>
  <c r="R11" i="1"/>
  <c r="R10" i="1"/>
  <c r="R9" i="1"/>
  <c r="R8" i="1"/>
  <c r="R7" i="1"/>
  <c r="R4" i="1"/>
  <c r="R6" i="1" s="1"/>
  <c r="C16" i="11"/>
  <c r="C14" i="11"/>
  <c r="C11" i="11"/>
  <c r="C10" i="11"/>
  <c r="F2" i="7"/>
  <c r="F61" i="7"/>
  <c r="F62" i="7"/>
  <c r="F63" i="7"/>
  <c r="F64" i="7"/>
  <c r="F65" i="7"/>
  <c r="F66" i="7"/>
  <c r="F67" i="7"/>
  <c r="F68" i="7"/>
  <c r="F69" i="7"/>
  <c r="F70" i="7"/>
  <c r="F71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5" i="7"/>
  <c r="F4" i="7"/>
  <c r="C16" i="9"/>
  <c r="C14" i="9"/>
  <c r="C11" i="9"/>
  <c r="C10" i="9"/>
  <c r="E87" i="4"/>
  <c r="E85" i="4"/>
  <c r="E86" i="4"/>
  <c r="E6" i="4"/>
  <c r="E7" i="4"/>
  <c r="E8" i="4"/>
  <c r="E2" i="4" s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5" i="4"/>
  <c r="E4" i="4"/>
  <c r="G13" i="11"/>
  <c r="I2" i="7"/>
  <c r="C13" i="11"/>
  <c r="C22" i="11"/>
  <c r="W6" i="11" s="1"/>
  <c r="C28" i="11"/>
  <c r="C29" i="11"/>
  <c r="F13" i="11"/>
  <c r="H8" i="11" s="1"/>
  <c r="R12" i="11"/>
  <c r="Q12" i="11"/>
  <c r="O12" i="11"/>
  <c r="M12" i="11"/>
  <c r="L12" i="11"/>
  <c r="U11" i="11"/>
  <c r="T11" i="11"/>
  <c r="K11" i="11"/>
  <c r="U10" i="11"/>
  <c r="T10" i="11"/>
  <c r="K10" i="11"/>
  <c r="U8" i="11"/>
  <c r="T8" i="11"/>
  <c r="N8" i="11"/>
  <c r="W8" i="11" s="1"/>
  <c r="K8" i="11"/>
  <c r="U6" i="11"/>
  <c r="T6" i="11"/>
  <c r="N6" i="11"/>
  <c r="K6" i="11"/>
  <c r="U3" i="11"/>
  <c r="T3" i="11"/>
  <c r="N3" i="11"/>
  <c r="K3" i="11"/>
  <c r="R18" i="1" l="1"/>
  <c r="R17" i="1"/>
  <c r="W10" i="11"/>
  <c r="W11" i="11"/>
  <c r="C23" i="11"/>
  <c r="S6" i="11"/>
  <c r="W3" i="11"/>
  <c r="H10" i="11"/>
  <c r="H11" i="11"/>
  <c r="H7" i="11"/>
  <c r="S10" i="11"/>
  <c r="H13" i="11"/>
  <c r="H9" i="11"/>
  <c r="S8" i="11"/>
  <c r="H5" i="11"/>
  <c r="H12" i="11"/>
  <c r="H6" i="11"/>
  <c r="P3" i="11"/>
  <c r="S3" i="11"/>
  <c r="S11" i="11"/>
  <c r="P8" i="11" l="1"/>
  <c r="V8" i="11"/>
  <c r="P10" i="11"/>
  <c r="V10" i="11"/>
  <c r="V3" i="11"/>
  <c r="S12" i="11"/>
  <c r="P6" i="11"/>
  <c r="V6" i="11"/>
  <c r="P11" i="11"/>
  <c r="V11" i="11"/>
  <c r="I11" i="1" l="1"/>
  <c r="I10" i="1"/>
  <c r="I9" i="1"/>
  <c r="H6" i="10"/>
  <c r="H7" i="10"/>
  <c r="H8" i="10"/>
  <c r="H9" i="10"/>
  <c r="H10" i="10"/>
  <c r="K26" i="1" s="1"/>
  <c r="H11" i="10"/>
  <c r="K27" i="1" s="1"/>
  <c r="H12" i="10"/>
  <c r="K28" i="1" s="1"/>
  <c r="H13" i="10"/>
  <c r="K29" i="1" s="1"/>
  <c r="H5" i="10"/>
  <c r="H5" i="8"/>
  <c r="K21" i="1"/>
  <c r="K22" i="1"/>
  <c r="K23" i="1"/>
  <c r="K24" i="1"/>
  <c r="K25" i="1"/>
  <c r="J21" i="1"/>
  <c r="J22" i="1"/>
  <c r="J23" i="1"/>
  <c r="J24" i="1"/>
  <c r="J25" i="1"/>
  <c r="J26" i="1"/>
  <c r="J27" i="1"/>
  <c r="J28" i="1"/>
  <c r="J29" i="1"/>
  <c r="I21" i="1"/>
  <c r="I22" i="1"/>
  <c r="I23" i="1"/>
  <c r="I24" i="1"/>
  <c r="I25" i="1"/>
  <c r="I26" i="1"/>
  <c r="I27" i="1"/>
  <c r="I28" i="1"/>
  <c r="I29" i="1"/>
  <c r="J20" i="1"/>
  <c r="K20" i="1"/>
  <c r="I20" i="1"/>
  <c r="K3" i="10"/>
  <c r="C22" i="10"/>
  <c r="S11" i="10" s="1"/>
  <c r="G13" i="10"/>
  <c r="F13" i="10"/>
  <c r="R12" i="10"/>
  <c r="Q12" i="10"/>
  <c r="O12" i="10"/>
  <c r="M12" i="10"/>
  <c r="L12" i="10"/>
  <c r="U11" i="10"/>
  <c r="T11" i="10"/>
  <c r="K11" i="10"/>
  <c r="U10" i="10"/>
  <c r="T10" i="10"/>
  <c r="K10" i="10"/>
  <c r="C9" i="10"/>
  <c r="C27" i="10" s="1"/>
  <c r="I16" i="1" s="1"/>
  <c r="U8" i="10"/>
  <c r="T8" i="10"/>
  <c r="N8" i="10"/>
  <c r="K8" i="10"/>
  <c r="U6" i="10"/>
  <c r="T6" i="10"/>
  <c r="N6" i="10"/>
  <c r="W6" i="10" s="1"/>
  <c r="K6" i="10"/>
  <c r="U3" i="10"/>
  <c r="T3" i="10"/>
  <c r="N3" i="10"/>
  <c r="W3" i="10" s="1"/>
  <c r="I4" i="1" l="1"/>
  <c r="P11" i="10"/>
  <c r="V11" i="10"/>
  <c r="S3" i="10"/>
  <c r="W8" i="10"/>
  <c r="S6" i="10"/>
  <c r="W10" i="10"/>
  <c r="W11" i="10"/>
  <c r="C26" i="10"/>
  <c r="I15" i="1" s="1"/>
  <c r="S8" i="10"/>
  <c r="P3" i="10"/>
  <c r="S10" i="10"/>
  <c r="I6" i="1" l="1"/>
  <c r="V8" i="10"/>
  <c r="P8" i="10"/>
  <c r="V3" i="10"/>
  <c r="S12" i="10"/>
  <c r="P10" i="10"/>
  <c r="V10" i="10"/>
  <c r="V6" i="10"/>
  <c r="P6" i="10"/>
  <c r="O11" i="1" l="1"/>
  <c r="O10" i="1"/>
  <c r="L10" i="1"/>
  <c r="AS10" i="1" s="1"/>
  <c r="O9" i="1"/>
  <c r="Q21" i="1"/>
  <c r="Q22" i="1"/>
  <c r="Q23" i="1"/>
  <c r="Q24" i="1"/>
  <c r="Q25" i="1"/>
  <c r="Q26" i="1"/>
  <c r="Q27" i="1"/>
  <c r="Q28" i="1"/>
  <c r="Q29" i="1"/>
  <c r="P21" i="1"/>
  <c r="P22" i="1"/>
  <c r="P23" i="1"/>
  <c r="P24" i="1"/>
  <c r="P25" i="1"/>
  <c r="P26" i="1"/>
  <c r="P27" i="1"/>
  <c r="P28" i="1"/>
  <c r="P29" i="1"/>
  <c r="O22" i="1"/>
  <c r="O23" i="1"/>
  <c r="O24" i="1"/>
  <c r="O25" i="1"/>
  <c r="O26" i="1"/>
  <c r="O27" i="1"/>
  <c r="O28" i="1"/>
  <c r="O29" i="1"/>
  <c r="O21" i="1"/>
  <c r="P20" i="1"/>
  <c r="Q20" i="1"/>
  <c r="O20" i="1"/>
  <c r="C22" i="9"/>
  <c r="S10" i="9" s="1"/>
  <c r="C28" i="9"/>
  <c r="C29" i="9"/>
  <c r="G13" i="9"/>
  <c r="F13" i="9"/>
  <c r="H13" i="9" s="1"/>
  <c r="R12" i="9"/>
  <c r="Q12" i="9"/>
  <c r="O12" i="9"/>
  <c r="M12" i="9"/>
  <c r="L12" i="9"/>
  <c r="U11" i="9"/>
  <c r="T11" i="9"/>
  <c r="S11" i="9"/>
  <c r="P11" i="9" s="1"/>
  <c r="K11" i="9"/>
  <c r="O8" i="1"/>
  <c r="U10" i="9"/>
  <c r="T10" i="9"/>
  <c r="K10" i="9"/>
  <c r="O7" i="1"/>
  <c r="W8" i="9"/>
  <c r="U8" i="9"/>
  <c r="T8" i="9"/>
  <c r="N8" i="9"/>
  <c r="K8" i="9"/>
  <c r="W6" i="9"/>
  <c r="V6" i="9"/>
  <c r="U6" i="9"/>
  <c r="T6" i="9"/>
  <c r="S6" i="9"/>
  <c r="P6" i="9"/>
  <c r="N6" i="9"/>
  <c r="K6" i="9"/>
  <c r="U3" i="9"/>
  <c r="T3" i="9"/>
  <c r="S3" i="9"/>
  <c r="V3" i="9" s="1"/>
  <c r="N3" i="9"/>
  <c r="W3" i="9" s="1"/>
  <c r="K3" i="9"/>
  <c r="O17" i="1" l="1"/>
  <c r="O12" i="1"/>
  <c r="O18" i="1" s="1"/>
  <c r="V10" i="9"/>
  <c r="P10" i="9"/>
  <c r="H5" i="9"/>
  <c r="H11" i="9"/>
  <c r="H12" i="9"/>
  <c r="H6" i="9"/>
  <c r="H8" i="9"/>
  <c r="H9" i="9"/>
  <c r="W10" i="9"/>
  <c r="V11" i="9"/>
  <c r="S8" i="9"/>
  <c r="H10" i="9"/>
  <c r="W11" i="9"/>
  <c r="C13" i="9"/>
  <c r="C23" i="9" s="1"/>
  <c r="O13" i="1" s="1"/>
  <c r="P3" i="9"/>
  <c r="H7" i="9"/>
  <c r="V8" i="9" l="1"/>
  <c r="P8" i="9"/>
  <c r="S12" i="9"/>
  <c r="N28" i="1" l="1"/>
  <c r="N29" i="1"/>
  <c r="M29" i="1"/>
  <c r="L29" i="1"/>
  <c r="N21" i="1"/>
  <c r="N22" i="1"/>
  <c r="N23" i="1"/>
  <c r="N24" i="1"/>
  <c r="N25" i="1"/>
  <c r="N26" i="1"/>
  <c r="N27" i="1"/>
  <c r="M21" i="1"/>
  <c r="M22" i="1"/>
  <c r="M23" i="1"/>
  <c r="M24" i="1"/>
  <c r="M25" i="1"/>
  <c r="M26" i="1"/>
  <c r="M27" i="1"/>
  <c r="M28" i="1"/>
  <c r="L21" i="1"/>
  <c r="L22" i="1"/>
  <c r="L23" i="1"/>
  <c r="L24" i="1"/>
  <c r="L25" i="1"/>
  <c r="L26" i="1"/>
  <c r="L27" i="1"/>
  <c r="L28" i="1"/>
  <c r="M20" i="1"/>
  <c r="N20" i="1"/>
  <c r="L20" i="1"/>
  <c r="L9" i="1"/>
  <c r="AS9" i="1" s="1"/>
  <c r="L11" i="1"/>
  <c r="AS11" i="1" s="1"/>
  <c r="N3" i="8"/>
  <c r="C22" i="8"/>
  <c r="S11" i="8" s="1"/>
  <c r="E2" i="3"/>
  <c r="C11" i="8" s="1"/>
  <c r="L8" i="1" s="1"/>
  <c r="E86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4" i="3"/>
  <c r="R12" i="8"/>
  <c r="Q12" i="8"/>
  <c r="O12" i="8"/>
  <c r="M12" i="8"/>
  <c r="L12" i="8"/>
  <c r="U11" i="8"/>
  <c r="T11" i="8"/>
  <c r="K11" i="8"/>
  <c r="U10" i="8"/>
  <c r="T10" i="8"/>
  <c r="K10" i="8"/>
  <c r="U8" i="8"/>
  <c r="T8" i="8"/>
  <c r="N8" i="8"/>
  <c r="K8" i="8"/>
  <c r="U6" i="8"/>
  <c r="T6" i="8"/>
  <c r="N6" i="8"/>
  <c r="K6" i="8"/>
  <c r="U3" i="8"/>
  <c r="T3" i="8"/>
  <c r="K3" i="8"/>
  <c r="G13" i="8"/>
  <c r="F13" i="8"/>
  <c r="H13" i="8" s="1"/>
  <c r="V11" i="8" l="1"/>
  <c r="P11" i="8"/>
  <c r="W11" i="8"/>
  <c r="W10" i="8"/>
  <c r="C13" i="8"/>
  <c r="W8" i="8"/>
  <c r="S10" i="8"/>
  <c r="W6" i="8"/>
  <c r="W3" i="8"/>
  <c r="S8" i="8"/>
  <c r="P3" i="8"/>
  <c r="S6" i="8"/>
  <c r="S3" i="8"/>
  <c r="H6" i="8"/>
  <c r="H11" i="8"/>
  <c r="H7" i="8"/>
  <c r="H12" i="8"/>
  <c r="H9" i="8"/>
  <c r="H10" i="8"/>
  <c r="H8" i="8"/>
  <c r="S12" i="8" l="1"/>
  <c r="V3" i="8"/>
  <c r="P10" i="8"/>
  <c r="V10" i="8"/>
  <c r="V6" i="8"/>
  <c r="P8" i="8"/>
  <c r="V8" i="8"/>
  <c r="H2" i="2"/>
  <c r="E76" i="2"/>
  <c r="E63" i="2"/>
  <c r="E64" i="2"/>
  <c r="E65" i="2"/>
  <c r="E66" i="2"/>
  <c r="E67" i="2"/>
  <c r="E68" i="2"/>
  <c r="E69" i="2"/>
  <c r="E70" i="2"/>
  <c r="E71" i="2"/>
  <c r="E72" i="2"/>
  <c r="E73" i="2"/>
  <c r="E74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J2" i="2"/>
  <c r="C10" i="10" s="1"/>
  <c r="I7" i="1" s="1"/>
  <c r="I17" i="1" s="1"/>
  <c r="D75" i="2"/>
  <c r="D2" i="2" s="1"/>
  <c r="C14" i="10" s="1"/>
  <c r="I12" i="1" s="1"/>
  <c r="N53" i="6"/>
  <c r="N2" i="6" s="1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Q2" i="6"/>
  <c r="O2" i="6"/>
  <c r="M2" i="6"/>
  <c r="C9" i="12" s="1"/>
  <c r="L2" i="6"/>
  <c r="K2" i="6"/>
  <c r="D2" i="6"/>
  <c r="C14" i="12" s="1"/>
  <c r="C16" i="10" l="1"/>
  <c r="C28" i="10" s="1"/>
  <c r="C27" i="12"/>
  <c r="C24" i="12"/>
  <c r="C25" i="12"/>
  <c r="C26" i="12"/>
  <c r="C29" i="12"/>
  <c r="C23" i="12"/>
  <c r="C10" i="12"/>
  <c r="P53" i="6"/>
  <c r="E75" i="2"/>
  <c r="E2" i="2" s="1"/>
  <c r="C11" i="10" s="1"/>
  <c r="C29" i="10"/>
  <c r="C24" i="10"/>
  <c r="I14" i="1" s="1"/>
  <c r="C23" i="10"/>
  <c r="I13" i="1" s="1"/>
  <c r="O65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P2" i="7"/>
  <c r="N2" i="7"/>
  <c r="M2" i="7"/>
  <c r="L2" i="7"/>
  <c r="C9" i="11" s="1"/>
  <c r="K2" i="7"/>
  <c r="E2" i="7"/>
  <c r="D2" i="7"/>
  <c r="C25" i="10" l="1"/>
  <c r="I8" i="1"/>
  <c r="P2" i="6"/>
  <c r="C27" i="11"/>
  <c r="C26" i="11"/>
  <c r="C24" i="11"/>
  <c r="C25" i="11"/>
  <c r="O2" i="7"/>
  <c r="L2" i="3"/>
  <c r="M2" i="3"/>
  <c r="O2" i="3"/>
  <c r="N76" i="4"/>
  <c r="N75" i="4"/>
  <c r="M68" i="4"/>
  <c r="M2" i="4" s="1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O2" i="4"/>
  <c r="L2" i="4"/>
  <c r="K2" i="4"/>
  <c r="C9" i="9" s="1"/>
  <c r="J2" i="4"/>
  <c r="H2" i="4"/>
  <c r="D2" i="4"/>
  <c r="I18" i="1" l="1"/>
  <c r="AS8" i="1"/>
  <c r="C27" i="9"/>
  <c r="O16" i="1" s="1"/>
  <c r="C24" i="9"/>
  <c r="O14" i="1" s="1"/>
  <c r="O4" i="1"/>
  <c r="O6" i="1" s="1"/>
  <c r="C25" i="9"/>
  <c r="C26" i="9"/>
  <c r="O15" i="1" s="1"/>
  <c r="N2" i="4"/>
  <c r="N80" i="3" l="1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K2" i="3"/>
  <c r="J2" i="3"/>
  <c r="C10" i="8" s="1"/>
  <c r="L7" i="1" s="1"/>
  <c r="H2" i="3"/>
  <c r="C16" i="8" s="1"/>
  <c r="C28" i="8" s="1"/>
  <c r="D2" i="3"/>
  <c r="C14" i="8" s="1"/>
  <c r="L12" i="1" l="1"/>
  <c r="C23" i="8"/>
  <c r="L13" i="1" s="1"/>
  <c r="AS13" i="1" s="1"/>
  <c r="C29" i="8"/>
  <c r="AS7" i="1"/>
  <c r="L17" i="1"/>
  <c r="AS17" i="1" s="1"/>
  <c r="L4" i="1"/>
  <c r="C9" i="8"/>
  <c r="N2" i="3"/>
  <c r="K2" i="2"/>
  <c r="M2" i="2"/>
  <c r="P2" i="2"/>
  <c r="L76" i="2"/>
  <c r="O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C26" i="8" l="1"/>
  <c r="L15" i="1" s="1"/>
  <c r="AS15" i="1" s="1"/>
  <c r="C25" i="8"/>
  <c r="C27" i="8"/>
  <c r="L16" i="1" s="1"/>
  <c r="AS16" i="1" s="1"/>
  <c r="C24" i="8"/>
  <c r="L14" i="1" s="1"/>
  <c r="AS14" i="1" s="1"/>
  <c r="AS12" i="1"/>
  <c r="L18" i="1"/>
  <c r="AS18" i="1" s="1"/>
  <c r="L6" i="1"/>
  <c r="AS4" i="1"/>
  <c r="L2" i="2"/>
  <c r="O2" i="2"/>
  <c r="N57" i="2"/>
  <c r="N76" i="2"/>
  <c r="N54" i="2"/>
  <c r="N25" i="2"/>
  <c r="N44" i="2"/>
  <c r="N2" i="2" l="1"/>
  <c r="H11" i="12"/>
  <c r="H12" i="12"/>
  <c r="H6" i="12"/>
  <c r="H8" i="12"/>
  <c r="H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comeandget</author>
    <author>81701</author>
  </authors>
  <commentList>
    <comment ref="K49" authorId="0" shapeId="0" xr:uid="{A08890E3-9DED-4F42-A734-E190F900937C}">
      <text>
        <r>
          <rPr>
            <sz val="9"/>
            <color rgb="FF000000"/>
            <rFont val="SimSun"/>
            <charset val="134"/>
          </rPr>
          <t>neppan(</t>
        </r>
        <r>
          <rPr>
            <sz val="9"/>
            <color rgb="FF000000"/>
            <rFont val="SimSun"/>
            <charset val="134"/>
          </rPr>
          <t>没有加清扫费</t>
        </r>
        <r>
          <rPr>
            <sz val="9"/>
            <color rgb="FF000000"/>
            <rFont val="SimSun"/>
            <charset val="134"/>
          </rPr>
          <t xml:space="preserve">)
</t>
        </r>
        <r>
          <rPr>
            <sz val="9"/>
            <color rgb="FF000000"/>
            <rFont val="SimSun"/>
            <charset val="134"/>
          </rPr>
          <t xml:space="preserve">61000
</t>
        </r>
        <r>
          <rPr>
            <sz val="9"/>
            <color rgb="FF000000"/>
            <rFont val="SimSun"/>
            <charset val="134"/>
          </rPr>
          <t xml:space="preserve">155190
</t>
        </r>
        <r>
          <rPr>
            <sz val="9"/>
            <color rgb="FF000000"/>
            <rFont val="SimSun"/>
            <charset val="134"/>
          </rPr>
          <t xml:space="preserve">116760
</t>
        </r>
        <r>
          <rPr>
            <sz val="9"/>
            <color rgb="FF000000"/>
            <rFont val="SimSun"/>
            <charset val="134"/>
          </rPr>
          <t xml:space="preserve">179007
</t>
        </r>
      </text>
    </comment>
    <comment ref="L58" authorId="1" shapeId="0" xr:uid="{8239FFE9-7E8B-974E-A660-096873435AFD}">
      <text>
        <r>
          <rPr>
            <b/>
            <sz val="9"/>
            <color rgb="FF000000"/>
            <rFont val="SimSun"/>
            <charset val="134"/>
          </rPr>
          <t>Trip</t>
        </r>
        <r>
          <rPr>
            <b/>
            <sz val="9"/>
            <color rgb="FF000000"/>
            <rFont val="SimSun"/>
            <charset val="134"/>
          </rPr>
          <t>手数料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12%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舜日03</author>
    <author>comeandget</author>
    <author>81701</author>
    <author/>
  </authors>
  <commentList>
    <comment ref="K41" authorId="0" shapeId="0" xr:uid="{DDE94744-0472-384F-8CAC-05D6B954786E}">
      <text>
        <r>
          <rPr>
            <b/>
            <sz val="9"/>
            <rFont val="SimSun"/>
            <charset val="134"/>
          </rPr>
          <t xml:space="preserve">8月4日预约
</t>
        </r>
        <r>
          <rPr>
            <sz val="9"/>
            <rFont val="SimSun"/>
            <charset val="134"/>
          </rPr>
          <t>当时还没有追加6000清扫费</t>
        </r>
      </text>
    </comment>
    <comment ref="K42" authorId="0" shapeId="0" xr:uid="{6E6C0E65-AA54-7E41-8B74-B1D3512684D4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2025年9月2日(火)</t>
        </r>
      </text>
    </comment>
    <comment ref="K47" authorId="0" shapeId="0" xr:uid="{F17ACE7F-05D2-7344-9DFB-0D445096ED61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2025年9月16日(火)</t>
        </r>
      </text>
    </comment>
    <comment ref="K52" authorId="0" shapeId="0" xr:uid="{D59562B7-7DFE-434E-A0F9-5AA8E7611BAF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2025年8月5日(火)</t>
        </r>
      </text>
    </comment>
    <comment ref="L78" authorId="0" shapeId="0" xr:uid="{C42CBE98-8B01-8E45-A067-08AF09FE8B77}">
      <text>
        <r>
          <rPr>
            <b/>
            <sz val="9"/>
            <color rgb="FF000000"/>
            <rFont val="SimSun"/>
            <charset val="134"/>
          </rPr>
          <t>舜日</t>
        </r>
        <r>
          <rPr>
            <b/>
            <sz val="9"/>
            <color rgb="FF000000"/>
            <rFont val="SimSun"/>
            <charset val="134"/>
          </rPr>
          <t>03: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11%</t>
        </r>
      </text>
    </comment>
    <comment ref="K132" authorId="1" shapeId="0" xr:uid="{2D70EA00-5958-8442-8C67-5E228AF2398C}">
      <text>
        <r>
          <rPr>
            <sz val="9"/>
            <color rgb="FF000000"/>
            <rFont val="SimSun"/>
            <charset val="134"/>
          </rPr>
          <t xml:space="preserve">neppan(没有加清扫费)
61000
155190
116760
179007
</t>
        </r>
      </text>
    </comment>
    <comment ref="L141" authorId="2" shapeId="0" xr:uid="{1F718683-E15B-864B-BED8-AD96938AC699}">
      <text>
        <r>
          <rPr>
            <b/>
            <sz val="9"/>
            <color rgb="FF000000"/>
            <rFont val="SimSun"/>
            <charset val="134"/>
          </rPr>
          <t>Trip手数料</t>
        </r>
        <r>
          <rPr>
            <sz val="9"/>
            <color rgb="FF000000"/>
            <rFont val="SimSun"/>
            <charset val="134"/>
          </rPr>
          <t xml:space="preserve">
12%</t>
        </r>
      </text>
    </comment>
    <comment ref="F160" authorId="3" shapeId="0" xr:uid="{BE3F52CA-6FF7-FE4D-9932-2048119D4F80}">
      <text>
        <r>
          <rPr>
            <sz val="10"/>
            <rFont val="SimSun"/>
            <charset val="134"/>
          </rPr>
          <t>======
ID#AAABtDutf18
81701    (2025-10-22 09:31:39)
Airbnb9月共计：
21件</t>
        </r>
      </text>
    </comment>
    <comment ref="F181" authorId="3" shapeId="0" xr:uid="{F54E6BCF-B321-4E48-842D-60FE56F73508}">
      <text>
        <r>
          <rPr>
            <sz val="10"/>
            <rFont val="SimSun"/>
            <charset val="134"/>
          </rPr>
          <t>======
ID#AAABtDutf2U
81701    (2025-10-22 09:31:39)
Agoda9月共计：
13件</t>
        </r>
      </text>
    </comment>
    <comment ref="F194" authorId="3" shapeId="0" xr:uid="{D9EA705E-619D-0F46-A884-6580D739EF6E}">
      <text>
        <r>
          <rPr>
            <sz val="10"/>
            <rFont val="SimSun"/>
            <charset val="134"/>
          </rPr>
          <t>======
ID#AAABtDutf2k
81701    (2025-10-22 09:31:39)
Booking9月共计：
9件</t>
        </r>
      </text>
    </comment>
    <comment ref="K201" authorId="3" shapeId="0" xr:uid="{22E5C443-B419-3C4B-B923-4B8D7FF9DB22}">
      <text>
        <r>
          <rPr>
            <sz val="10"/>
            <rFont val="SimSun"/>
            <charset val="134"/>
          </rPr>
          <t>======
ID#AAABtDutf2E
81701    (2025-10-22 09:31:39)
neppan金额没有加清扫费6000 这里更正为36500</t>
        </r>
      </text>
    </comment>
    <comment ref="F203" authorId="3" shapeId="0" xr:uid="{22060778-93BE-0D44-9442-8E95307DAE0F}">
      <text>
        <r>
          <rPr>
            <sz val="10"/>
            <rFont val="SimSun"/>
            <charset val="134"/>
          </rPr>
          <t>======
ID#AAABtDutf2M
81701    (2025-10-22 09:31:39)
Trip9月共计：
5件</t>
        </r>
      </text>
    </comment>
    <comment ref="K203" authorId="3" shapeId="0" xr:uid="{5EABFA3E-A2C5-5448-95E7-FFB094593449}">
      <text>
        <r>
          <rPr>
            <sz val="10"/>
            <rFont val="SimSun"/>
            <charset val="134"/>
          </rPr>
          <t>======
ID#AAABtDutf2g
81701    (2025-10-22 09:31:39)
平台显示金额：47260
差额：8340（15%）</t>
        </r>
      </text>
    </comment>
    <comment ref="K204" authorId="3" shapeId="0" xr:uid="{9B7F329F-1E8A-5949-B2EF-2DD14860CDC1}">
      <text>
        <r>
          <rPr>
            <sz val="10"/>
            <rFont val="SimSun"/>
            <charset val="134"/>
          </rPr>
          <t>======
ID#AAABtDutf2c
81701    (2025-10-22 09:31:39)
平台显示金额：91362
差额：12458（12%）</t>
        </r>
      </text>
    </comment>
    <comment ref="K205" authorId="3" shapeId="0" xr:uid="{CBCE6135-C3F4-5D45-9749-3722CC11851B}">
      <text>
        <r>
          <rPr>
            <sz val="10"/>
            <rFont val="SimSun"/>
            <charset val="134"/>
          </rPr>
          <t>======
ID#AAABtDutf14
81701    (2025-10-22 09:31:39)
平台显示金额：101200
差额：13800（12%）</t>
        </r>
      </text>
    </comment>
    <comment ref="K206" authorId="3" shapeId="0" xr:uid="{F2E06F56-0054-9240-886A-1AD441EA1BCA}">
      <text>
        <r>
          <rPr>
            <sz val="10"/>
            <rFont val="SimSun"/>
            <charset val="134"/>
          </rPr>
          <t>======
ID#AAABtDutf2Q
81701    (2025-10-22 09:31:39)
平台显示金额：51375
差额：7005（12%）</t>
        </r>
      </text>
    </comment>
    <comment ref="K207" authorId="3" shapeId="0" xr:uid="{1CB75FD0-B739-034A-8DF5-64B7D5E085F0}">
      <text>
        <r>
          <rPr>
            <sz val="10"/>
            <rFont val="SimSun"/>
            <charset val="134"/>
          </rPr>
          <t>======
ID#AAABtDutf2I
81701    (2025-10-22 09:31:39)
平台显示金额：14678
差额：2002（12%）</t>
        </r>
      </text>
    </comment>
  </commentList>
</comments>
</file>

<file path=xl/sharedStrings.xml><?xml version="1.0" encoding="utf-8"?>
<sst xmlns="http://schemas.openxmlformats.org/spreadsheetml/2006/main" count="2839" uniqueCount="718">
  <si>
    <t>総売上</t>
    <rPh sb="0" eb="1">
      <t xml:space="preserve">ソウ </t>
    </rPh>
    <rPh sb="1" eb="3">
      <t xml:space="preserve">ウリアゲ </t>
    </rPh>
    <phoneticPr fontId="1"/>
  </si>
  <si>
    <t>総宿泊人数</t>
    <rPh sb="0" eb="1">
      <t xml:space="preserve">ソウ </t>
    </rPh>
    <rPh sb="1" eb="3">
      <t xml:space="preserve">シュクハク </t>
    </rPh>
    <rPh sb="3" eb="5">
      <t xml:space="preserve">ニンズウ </t>
    </rPh>
    <phoneticPr fontId="1"/>
  </si>
  <si>
    <t>宿泊延べ日数</t>
    <rPh sb="0" eb="2">
      <t xml:space="preserve">シュクハク </t>
    </rPh>
    <rPh sb="2" eb="3">
      <t xml:space="preserve">ノベ </t>
    </rPh>
    <rPh sb="4" eb="6">
      <t xml:space="preserve">ニッスウ </t>
    </rPh>
    <phoneticPr fontId="1"/>
  </si>
  <si>
    <t>販売可能室数</t>
    <rPh sb="0" eb="2">
      <t xml:space="preserve">ハンバイ </t>
    </rPh>
    <rPh sb="2" eb="4">
      <t xml:space="preserve">カノウ </t>
    </rPh>
    <rPh sb="4" eb="6">
      <t xml:space="preserve">シツスウ </t>
    </rPh>
    <phoneticPr fontId="1"/>
  </si>
  <si>
    <t>販売可能数</t>
    <rPh sb="0" eb="1">
      <t xml:space="preserve">ハンバイ </t>
    </rPh>
    <phoneticPr fontId="1"/>
  </si>
  <si>
    <t>単位</t>
    <rPh sb="0" eb="2">
      <t xml:space="preserve">タンイ </t>
    </rPh>
    <phoneticPr fontId="1"/>
  </si>
  <si>
    <t>円</t>
    <rPh sb="0" eb="1">
      <t xml:space="preserve">エン </t>
    </rPh>
    <phoneticPr fontId="1"/>
  </si>
  <si>
    <t>人</t>
    <rPh sb="0" eb="1">
      <t xml:space="preserve">ニン </t>
    </rPh>
    <phoneticPr fontId="1"/>
  </si>
  <si>
    <t>人泊</t>
    <rPh sb="0" eb="2">
      <t xml:space="preserve">ニンハク </t>
    </rPh>
    <phoneticPr fontId="1"/>
  </si>
  <si>
    <t>室</t>
    <rPh sb="0" eb="1">
      <t xml:space="preserve">シツ </t>
    </rPh>
    <phoneticPr fontId="1"/>
  </si>
  <si>
    <t>販売可能室泊</t>
    <rPh sb="0" eb="2">
      <t xml:space="preserve">ハンバイ </t>
    </rPh>
    <rPh sb="2" eb="4">
      <t xml:space="preserve">カノウ </t>
    </rPh>
    <rPh sb="4" eb="6">
      <t xml:space="preserve">シツハク </t>
    </rPh>
    <phoneticPr fontId="1"/>
  </si>
  <si>
    <t>室泊</t>
    <phoneticPr fontId="1"/>
  </si>
  <si>
    <t>販売売室泊</t>
    <rPh sb="0" eb="2">
      <t xml:space="preserve">ハンバイ </t>
    </rPh>
    <rPh sb="2" eb="3">
      <t xml:space="preserve">ウリ </t>
    </rPh>
    <rPh sb="3" eb="4">
      <t xml:space="preserve">シツ </t>
    </rPh>
    <rPh sb="4" eb="5">
      <t xml:space="preserve">ハク </t>
    </rPh>
    <phoneticPr fontId="1"/>
  </si>
  <si>
    <t>稼働率</t>
    <rPh sb="0" eb="2">
      <t xml:space="preserve">カドウ </t>
    </rPh>
    <rPh sb="2" eb="3">
      <t xml:space="preserve">リツ </t>
    </rPh>
    <phoneticPr fontId="1"/>
  </si>
  <si>
    <t>％</t>
    <phoneticPr fontId="1"/>
  </si>
  <si>
    <t>ADR</t>
    <phoneticPr fontId="1"/>
  </si>
  <si>
    <t>RevPAR</t>
    <phoneticPr fontId="1"/>
  </si>
  <si>
    <t>㎡単価/日</t>
    <phoneticPr fontId="1"/>
  </si>
  <si>
    <t>平均宿泊人数</t>
    <rPh sb="0" eb="2">
      <t xml:space="preserve">ヘイキン </t>
    </rPh>
    <rPh sb="2" eb="4">
      <t xml:space="preserve">シュクハク </t>
    </rPh>
    <rPh sb="4" eb="6">
      <t xml:space="preserve">ニンズウ </t>
    </rPh>
    <phoneticPr fontId="1"/>
  </si>
  <si>
    <t>人数</t>
    <rPh sb="0" eb="2">
      <t>ニンスウ</t>
    </rPh>
    <phoneticPr fontId="1"/>
  </si>
  <si>
    <t>平均宿泊日数</t>
    <rPh sb="0" eb="2">
      <t xml:space="preserve">ヘイキン </t>
    </rPh>
    <rPh sb="2" eb="4">
      <t xml:space="preserve">シュクハク </t>
    </rPh>
    <rPh sb="4" eb="5">
      <t xml:space="preserve">ニチ </t>
    </rPh>
    <rPh sb="5" eb="6">
      <t xml:space="preserve">ニンズウ </t>
    </rPh>
    <phoneticPr fontId="1"/>
  </si>
  <si>
    <t>日数</t>
    <phoneticPr fontId="1"/>
  </si>
  <si>
    <t>小計</t>
    <rPh sb="0" eb="2">
      <t xml:space="preserve">ショウケイ </t>
    </rPh>
    <phoneticPr fontId="1"/>
  </si>
  <si>
    <t>チェックイン日</t>
  </si>
  <si>
    <t>チェックアウト日</t>
  </si>
  <si>
    <t>申込日</t>
  </si>
  <si>
    <t>泊数</t>
  </si>
  <si>
    <t>予約サイト名称</t>
  </si>
  <si>
    <t>部屋タイプ名称</t>
  </si>
  <si>
    <t>室数</t>
  </si>
  <si>
    <t>宿泊者氏名</t>
  </si>
  <si>
    <t>大人人数計</t>
  </si>
  <si>
    <t>予約合計額</t>
  </si>
  <si>
    <t>サービス料</t>
  </si>
  <si>
    <t>クレジットカード手数料</t>
  </si>
  <si>
    <t>サイト別銀行入金小計</t>
  </si>
  <si>
    <t>銀行入金小計</t>
  </si>
  <si>
    <t>ポイント額</t>
  </si>
  <si>
    <t>決済方法</t>
  </si>
  <si>
    <t>2025/10/01</t>
  </si>
  <si>
    <t>2025/10/03</t>
  </si>
  <si>
    <t>2025/09/29</t>
  </si>
  <si>
    <t>Agoda</t>
  </si>
  <si>
    <t>46.64平米403室</t>
  </si>
  <si>
    <t>lin wen syuan</t>
  </si>
  <si>
    <t>台湾</t>
  </si>
  <si>
    <t>事前決済</t>
  </si>
  <si>
    <t>2025/10/07</t>
  </si>
  <si>
    <t>2025/10/09</t>
  </si>
  <si>
    <t>29.90平米101室201室301室</t>
  </si>
  <si>
    <t>Tinnie Tsz Yan Lam</t>
  </si>
  <si>
    <t>香港</t>
  </si>
  <si>
    <t>2025/10/05</t>
  </si>
  <si>
    <t>2025/10/10</t>
  </si>
  <si>
    <t>36.70平米102室402室</t>
  </si>
  <si>
    <t>Aziz Dolce</t>
  </si>
  <si>
    <t>60.22平米401室</t>
  </si>
  <si>
    <t>韓国</t>
  </si>
  <si>
    <t>2025/10/12</t>
  </si>
  <si>
    <t>JONGHWAN CHUNG</t>
  </si>
  <si>
    <t>2025/10/11</t>
  </si>
  <si>
    <t>2025/10/13</t>
  </si>
  <si>
    <t>Michael Moppett</t>
  </si>
  <si>
    <t>2025/10/14</t>
  </si>
  <si>
    <t>Lo?s Tacher</t>
  </si>
  <si>
    <t>2025/10/17</t>
  </si>
  <si>
    <t>Medvidovic Sanda</t>
  </si>
  <si>
    <t>日本</t>
  </si>
  <si>
    <t>2025/10/16</t>
  </si>
  <si>
    <t>2025/10/19</t>
  </si>
  <si>
    <t>2025/10/21</t>
  </si>
  <si>
    <t>43.10平米202室302室</t>
  </si>
  <si>
    <t>Grace Wong</t>
  </si>
  <si>
    <t>2025/10/22</t>
  </si>
  <si>
    <t>Natalia Araujo</t>
  </si>
  <si>
    <t>2025/10/23</t>
  </si>
  <si>
    <t>Nadwa Razan binti Rosli</t>
  </si>
  <si>
    <t>2025/10/20</t>
  </si>
  <si>
    <t>2025/10/24</t>
  </si>
  <si>
    <t>Hanisah Jinlapudin</t>
  </si>
  <si>
    <t>2025/10/25</t>
  </si>
  <si>
    <t>Hesun Yoon</t>
  </si>
  <si>
    <t>Su Yeon Kim</t>
  </si>
  <si>
    <t>Fan Yang</t>
  </si>
  <si>
    <t>中国</t>
  </si>
  <si>
    <t>2025/10/26</t>
  </si>
  <si>
    <t>Hsu Longsheng</t>
  </si>
  <si>
    <t>Olesia Ivanova</t>
  </si>
  <si>
    <t>2025/10/27</t>
  </si>
  <si>
    <t>Constance Holloway</t>
  </si>
  <si>
    <t>2025/10/28</t>
  </si>
  <si>
    <t>Elena Li</t>
  </si>
  <si>
    <t>2025/10/30</t>
  </si>
  <si>
    <t>Ruth Cooling</t>
  </si>
  <si>
    <t>2025/10/31</t>
  </si>
  <si>
    <t>WEI-FENG CHI</t>
  </si>
  <si>
    <t>Airbnb</t>
  </si>
  <si>
    <t>Anastasia Androulidaki</t>
  </si>
  <si>
    <t>2025/09/27</t>
  </si>
  <si>
    <t>2025/10/04</t>
  </si>
  <si>
    <t>Grace Wu</t>
  </si>
  <si>
    <t>冬冬吴</t>
  </si>
  <si>
    <t>Sarah Joe</t>
  </si>
  <si>
    <t>Mel Westerhoff</t>
  </si>
  <si>
    <t>2025/10/02</t>
  </si>
  <si>
    <t>2025/10/08</t>
  </si>
  <si>
    <t>Biela Elias</t>
  </si>
  <si>
    <t>Winter Ku</t>
  </si>
  <si>
    <t>Mike Lindensmith</t>
  </si>
  <si>
    <t>Ki Ki</t>
  </si>
  <si>
    <t>Yancheng Shen</t>
  </si>
  <si>
    <t>Teun Zengerink</t>
  </si>
  <si>
    <t>2025/10/18</t>
  </si>
  <si>
    <t>Darina Arteeva</t>
  </si>
  <si>
    <t xml:space="preserve">Mauricio Barros </t>
  </si>
  <si>
    <t>Yazin Mohd</t>
  </si>
  <si>
    <t>2025/10/29</t>
  </si>
  <si>
    <t>勃然 王</t>
  </si>
  <si>
    <t>2025/09/26</t>
  </si>
  <si>
    <t>Booking.com</t>
  </si>
  <si>
    <t>Medvidovi? Sanda</t>
  </si>
  <si>
    <t>Sanziana Enache</t>
  </si>
  <si>
    <t>KIM YONGSEOK</t>
  </si>
  <si>
    <t>Kayley Tan</t>
  </si>
  <si>
    <t>2025/10/15</t>
  </si>
  <si>
    <t>Jeffrey Bartlett</t>
  </si>
  <si>
    <t>Adi Shani</t>
  </si>
  <si>
    <t>Bethany Sapp</t>
  </si>
  <si>
    <t>2025/10/06</t>
  </si>
  <si>
    <t>Tang George</t>
  </si>
  <si>
    <t>Jon Warner</t>
  </si>
  <si>
    <t>Артем Раков</t>
  </si>
  <si>
    <t>Expedia</t>
  </si>
  <si>
    <t>JIAHUI TAN</t>
  </si>
  <si>
    <t>Phoebe Lam</t>
  </si>
  <si>
    <t>Ting Fai LAU</t>
  </si>
  <si>
    <t>Trip.com</t>
  </si>
  <si>
    <t>Zhen Kai Hsu</t>
  </si>
  <si>
    <t>MINGYANG ZHANG</t>
  </si>
  <si>
    <t>BAOZHEN CHEN</t>
  </si>
  <si>
    <t>YOUNGWOO CHOI</t>
  </si>
  <si>
    <t>HYUNJUNG KIM</t>
  </si>
  <si>
    <t>WEI YANG</t>
  </si>
  <si>
    <t>YUHAN CHEN</t>
  </si>
  <si>
    <t>YINGFANG CHAI</t>
  </si>
  <si>
    <t>XINYU ZHANG</t>
  </si>
  <si>
    <t>Nadezhda Gerasimova</t>
  </si>
  <si>
    <t>CHIUMEI LIN</t>
  </si>
  <si>
    <t>YONGFENG WANG</t>
  </si>
  <si>
    <t>JIAYI ZOU</t>
  </si>
  <si>
    <t>Kirill Denisenko</t>
  </si>
  <si>
    <t>Kevin Taufik Septiago</t>
  </si>
  <si>
    <t>HYESOO KANG</t>
  </si>
  <si>
    <t>Sungmin Son</t>
  </si>
  <si>
    <t>2025/10/19</t>
    <phoneticPr fontId="2"/>
  </si>
  <si>
    <t>2025/10/21</t>
    <phoneticPr fontId="2"/>
  </si>
  <si>
    <t>yungu kim</t>
    <phoneticPr fontId="2"/>
  </si>
  <si>
    <t>XIWU KOU</t>
  </si>
  <si>
    <t>Booking</t>
  </si>
  <si>
    <t>Trip</t>
  </si>
  <si>
    <t>合計</t>
  </si>
  <si>
    <t>サイド別銀行入金小計</t>
  </si>
  <si>
    <t>ポイント割引額</t>
  </si>
  <si>
    <t>Kuah Zi Yuan Javier</t>
  </si>
  <si>
    <t>Hwayoung Kim</t>
  </si>
  <si>
    <t>EUNYOUNG LEE</t>
  </si>
  <si>
    <t>Julian Chit Hei Ng</t>
  </si>
  <si>
    <t>JOORANG YOON</t>
  </si>
  <si>
    <t>Elysse Enriquez</t>
  </si>
  <si>
    <t>SIU TING TSE</t>
  </si>
  <si>
    <t>AYEON PARK</t>
  </si>
  <si>
    <t>Fang yu Liu</t>
  </si>
  <si>
    <t>Christian Winata</t>
  </si>
  <si>
    <t>Samuel Tieu</t>
  </si>
  <si>
    <t>MISATO MOTOKI</t>
  </si>
  <si>
    <t>YAU CHOI LEE</t>
  </si>
  <si>
    <t>Ho Alex</t>
  </si>
  <si>
    <t>JUNNING HU</t>
  </si>
  <si>
    <t>Yu MING Huang</t>
  </si>
  <si>
    <t>Cheang Yen Aun</t>
  </si>
  <si>
    <t>Jia Lou Yap</t>
  </si>
  <si>
    <t>Stuart Nishiyama</t>
  </si>
  <si>
    <t>Aishah A.R.</t>
  </si>
  <si>
    <t>Catherine Nguyen</t>
  </si>
  <si>
    <t>Sherren Lee</t>
  </si>
  <si>
    <t>Andrew Howard</t>
  </si>
  <si>
    <t>Junko Kumamoto</t>
  </si>
  <si>
    <t>John Truong</t>
  </si>
  <si>
    <t>慧茹 劉</t>
  </si>
  <si>
    <t>Stefano Castiglione</t>
  </si>
  <si>
    <t>Ethan Yak</t>
  </si>
  <si>
    <t>Si C</t>
  </si>
  <si>
    <t>Lorraine Wong</t>
  </si>
  <si>
    <t>Carol Connelly</t>
  </si>
  <si>
    <t>Aashay Jardosh</t>
  </si>
  <si>
    <t>Xiaobo Li</t>
  </si>
  <si>
    <t>GUO ZHIXIAN</t>
  </si>
  <si>
    <t>Yoshida Kazuki</t>
  </si>
  <si>
    <t>ATSUYA NISHIZAKI</t>
  </si>
  <si>
    <t>Edwin Cifuentes</t>
  </si>
  <si>
    <t>Kerstin Werner</t>
  </si>
  <si>
    <t>Venelin Banov</t>
  </si>
  <si>
    <t>Daphne Soh</t>
  </si>
  <si>
    <t>Kasmira Bresett</t>
  </si>
  <si>
    <t>Heinz Sander</t>
  </si>
  <si>
    <t>Agatina Manicas</t>
  </si>
  <si>
    <t>Igor Tolobaev</t>
  </si>
  <si>
    <t>Cyril Caban?</t>
  </si>
  <si>
    <t>Kim Hongkwan</t>
  </si>
  <si>
    <t>Kazunori Nakano</t>
  </si>
  <si>
    <t>WONDO JUNG</t>
  </si>
  <si>
    <t>Nuratiqah Syaza</t>
  </si>
  <si>
    <t>GUILING CHEN</t>
  </si>
  <si>
    <t>Grace Dai</t>
  </si>
  <si>
    <t>huang kai ching</t>
  </si>
  <si>
    <t>Ahmed Ayan</t>
  </si>
  <si>
    <t>RAYNARD GO</t>
  </si>
  <si>
    <t>yuhsien chen</t>
  </si>
  <si>
    <t>Frank Andresen</t>
  </si>
  <si>
    <t>Jada Lynn Sarmiento</t>
  </si>
  <si>
    <t>Heidi Kress</t>
  </si>
  <si>
    <t>Ng Wai Ho</t>
  </si>
  <si>
    <t>Jocelyn Wong</t>
  </si>
  <si>
    <t>HYELIN PARK</t>
  </si>
  <si>
    <t>YANG YANG</t>
  </si>
  <si>
    <t>SEBASTIAN TAI XIANG KOH</t>
  </si>
  <si>
    <t>ELENA SEVEROVA</t>
  </si>
  <si>
    <t>JANICE LABORTE</t>
  </si>
  <si>
    <t>ANQI DA</t>
  </si>
  <si>
    <t>CHEN YI WU</t>
  </si>
  <si>
    <t>JAE YOUNG LEE</t>
  </si>
  <si>
    <t>PHILIP TUNG YING TANG</t>
  </si>
  <si>
    <t>Leonid Morev</t>
  </si>
  <si>
    <t>KAYAN HO</t>
  </si>
  <si>
    <t>YING LIU</t>
  </si>
  <si>
    <t>RAN AN</t>
  </si>
  <si>
    <t>PIK FUNG MARIA YU</t>
  </si>
  <si>
    <t>KA YING CHAN</t>
  </si>
  <si>
    <t>FANG JEAN EU</t>
  </si>
  <si>
    <t>一休.com</t>
  </si>
  <si>
    <t>原田 央</t>
  </si>
  <si>
    <t>河村 潤一郎</t>
  </si>
  <si>
    <t>岩田進一</t>
  </si>
  <si>
    <t>高橋 愛美</t>
  </si>
  <si>
    <t>粂川 慶一</t>
  </si>
  <si>
    <t>本多 宗来</t>
  </si>
  <si>
    <t>決済方法</t>
    <phoneticPr fontId="1"/>
  </si>
  <si>
    <t>warut ruksuuthee</t>
  </si>
  <si>
    <t>hyuna kim</t>
  </si>
  <si>
    <t>HYUJONG KANG</t>
  </si>
  <si>
    <t>ShengNeng Wei</t>
  </si>
  <si>
    <t>Alison Tan</t>
  </si>
  <si>
    <t>JuChen Lin</t>
  </si>
  <si>
    <t>Heeju Kim</t>
  </si>
  <si>
    <t>HSIAO HSUAN CHIEN</t>
  </si>
  <si>
    <t>SEONG SEOK MUN</t>
  </si>
  <si>
    <t>Ki jeong Yun</t>
  </si>
  <si>
    <t>Chee Hou Lai</t>
  </si>
  <si>
    <t>chialin chuang</t>
  </si>
  <si>
    <t>Bongjik Kim</t>
  </si>
  <si>
    <t>Olive Chang</t>
  </si>
  <si>
    <t>JUNG SEUNGYEON</t>
  </si>
  <si>
    <t>Hei Tung Miriam Wong</t>
  </si>
  <si>
    <t>Tat Li LAU</t>
  </si>
  <si>
    <t>Walter Chao</t>
  </si>
  <si>
    <t>JU HEE CHO</t>
  </si>
  <si>
    <t>Fanny Fan</t>
  </si>
  <si>
    <t>Jeong Su jin</t>
  </si>
  <si>
    <t>Pin Hao Lu</t>
  </si>
  <si>
    <t>圣达 刘</t>
  </si>
  <si>
    <t>Coraly Marquez</t>
  </si>
  <si>
    <t>Alisha Heffernan</t>
  </si>
  <si>
    <t>Lucas Ebrecht</t>
  </si>
  <si>
    <t>Sarah Bayou</t>
  </si>
  <si>
    <t>Lidia Kuriata</t>
  </si>
  <si>
    <t>Charlie Weng</t>
  </si>
  <si>
    <t>拓槙 別府</t>
  </si>
  <si>
    <t>Runjun Kumar</t>
  </si>
  <si>
    <t>Kirk Framke</t>
  </si>
  <si>
    <t>Akiko Uchida</t>
  </si>
  <si>
    <t>Hiroko Morimoto</t>
  </si>
  <si>
    <t>Kiyomi Araki</t>
  </si>
  <si>
    <t>Shirley Lugo</t>
  </si>
  <si>
    <t>joseph sudiro</t>
  </si>
  <si>
    <t>Steven Chan</t>
  </si>
  <si>
    <t>Kavya Gosalia</t>
  </si>
  <si>
    <t>Esther Hui Ling Thang</t>
  </si>
  <si>
    <t>TINGJEN CHEN</t>
  </si>
  <si>
    <t>HAN SOL PARK</t>
  </si>
  <si>
    <t>Miguel Tena Hernandez</t>
  </si>
  <si>
    <t>Kelly Klimova</t>
  </si>
  <si>
    <t>Charles Lai</t>
  </si>
  <si>
    <t>Elinore Pryor</t>
  </si>
  <si>
    <t>LIOU JIAN SIANG</t>
  </si>
  <si>
    <t>YUEN YING NG</t>
  </si>
  <si>
    <t>Hoi Yee Ma</t>
  </si>
  <si>
    <t>Tsz Kin Wong</t>
  </si>
  <si>
    <t>JONGHYEOK PARK</t>
  </si>
  <si>
    <t>HOKYUNG PARK</t>
  </si>
  <si>
    <t>Eunice Wong</t>
  </si>
  <si>
    <t>CHANITA DOUNGINN</t>
  </si>
  <si>
    <t>Lee Jaegyu</t>
  </si>
  <si>
    <t>CHORYI JIM</t>
  </si>
  <si>
    <t>KUAN HOU CHE</t>
  </si>
  <si>
    <t>Ziwen Huang</t>
  </si>
  <si>
    <t>HYUNGSEOK KIM</t>
  </si>
  <si>
    <t>Chong Wee Tan</t>
  </si>
  <si>
    <t>CHIEHCHIA CHEN</t>
  </si>
  <si>
    <t>西村 信哉</t>
  </si>
  <si>
    <t>佐々木 博子</t>
  </si>
  <si>
    <t>出村 幸世</t>
  </si>
  <si>
    <t>幸次 樹璃</t>
  </si>
  <si>
    <t>水石　大樹</t>
  </si>
  <si>
    <t>江口優里奈</t>
  </si>
  <si>
    <t>松浦 利典</t>
  </si>
  <si>
    <t>じゃらんnet</t>
  </si>
  <si>
    <t>下村 夢美</t>
  </si>
  <si>
    <t>現金</t>
  </si>
  <si>
    <t>橋本 公平</t>
  </si>
  <si>
    <t>RED</t>
    <phoneticPr fontId="16"/>
  </si>
  <si>
    <t>36.70平米102室402室OFF</t>
    <phoneticPr fontId="16"/>
  </si>
  <si>
    <t>43.10平米202室302室OFF</t>
    <phoneticPr fontId="16"/>
  </si>
  <si>
    <t>60.22平米401室OFF</t>
    <phoneticPr fontId="16"/>
  </si>
  <si>
    <t>29.90平米101室201室301室OFF</t>
    <phoneticPr fontId="16"/>
  </si>
  <si>
    <t>微信公众号</t>
    <rPh sb="0" eb="1">
      <t>wei xin</t>
    </rPh>
    <rPh sb="2" eb="3">
      <t>gong zhong hao</t>
    </rPh>
    <phoneticPr fontId="16"/>
  </si>
  <si>
    <t>46.64平米403室OFF</t>
    <phoneticPr fontId="16"/>
  </si>
  <si>
    <r>
      <rPr>
        <sz val="10"/>
        <color theme="1"/>
        <rFont val="MS UI Gothic"/>
        <family val="2"/>
        <charset val="128"/>
      </rPr>
      <t>진욱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안</t>
    </r>
  </si>
  <si>
    <r>
      <rPr>
        <sz val="10"/>
        <color theme="1"/>
        <rFont val="MS UI Gothic"/>
        <family val="2"/>
        <charset val="128"/>
      </rPr>
      <t>혜림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이</t>
    </r>
  </si>
  <si>
    <r>
      <rPr>
        <sz val="10"/>
        <color theme="1"/>
        <rFont val="MS UI Gothic"/>
        <family val="2"/>
        <charset val="128"/>
      </rPr>
      <t>선우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문</t>
    </r>
  </si>
  <si>
    <r>
      <rPr>
        <sz val="10"/>
        <color theme="1"/>
        <rFont val="MS UI Gothic"/>
        <family val="2"/>
        <charset val="128"/>
      </rPr>
      <t>서영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성</t>
    </r>
  </si>
  <si>
    <r>
      <t>康新</t>
    </r>
    <r>
      <rPr>
        <sz val="10"/>
        <color theme="1"/>
        <rFont val="Microsoft JhengHei"/>
        <family val="2"/>
        <charset val="136"/>
      </rPr>
      <t>线</t>
    </r>
    <r>
      <rPr>
        <sz val="10"/>
        <color theme="1"/>
        <rFont val="HG丸ｺﾞｼｯｸM-PRO"/>
        <family val="2"/>
        <charset val="128"/>
      </rPr>
      <t>下</t>
    </r>
    <rPh sb="0" eb="1">
      <t>kang xin</t>
    </rPh>
    <rPh sb="1" eb="2">
      <t>xin</t>
    </rPh>
    <rPh sb="2" eb="3">
      <t>xian xia</t>
    </rPh>
    <phoneticPr fontId="16"/>
  </si>
  <si>
    <r>
      <rPr>
        <sz val="10"/>
        <color theme="1"/>
        <rFont val="MS UI Gothic"/>
        <family val="2"/>
        <charset val="128"/>
      </rPr>
      <t>수용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조</t>
    </r>
  </si>
  <si>
    <r>
      <rPr>
        <sz val="10"/>
        <color theme="1"/>
        <rFont val="MS UI Gothic"/>
        <family val="2"/>
        <charset val="128"/>
      </rPr>
      <t>유진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임</t>
    </r>
  </si>
  <si>
    <t>William Suyatna</t>
  </si>
  <si>
    <t>Ana Ronquillo</t>
  </si>
  <si>
    <t>シンガポール</t>
  </si>
  <si>
    <t>Min Chih Tsai</t>
  </si>
  <si>
    <t>南西 羅</t>
  </si>
  <si>
    <t>Miriama Shan</t>
  </si>
  <si>
    <t>Clinton Alver</t>
  </si>
  <si>
    <t>オーストラリア</t>
  </si>
  <si>
    <t>建國 ?</t>
  </si>
  <si>
    <t>Chih Chang Lin</t>
  </si>
  <si>
    <t>Tianran Chen</t>
  </si>
  <si>
    <t>Vivian Wen</t>
  </si>
  <si>
    <t>Chimgeesuren Choindon</t>
  </si>
  <si>
    <t>Yu Wen Chen</t>
  </si>
  <si>
    <t>Mark Russell</t>
  </si>
  <si>
    <t>Clare Tan</t>
  </si>
  <si>
    <t>Hannah Yang</t>
  </si>
  <si>
    <t>LEAH LEE ONG</t>
  </si>
  <si>
    <t>マレーシア</t>
  </si>
  <si>
    <t>sungwook jung</t>
  </si>
  <si>
    <t>RAEHOON JANG</t>
  </si>
  <si>
    <t>CHUNGLIN WON</t>
  </si>
  <si>
    <t>Yunchen Hsu</t>
  </si>
  <si>
    <t>Megat Hassan</t>
  </si>
  <si>
    <t>BaekHyun Kim</t>
  </si>
  <si>
    <t>Jinhyuk Lee</t>
  </si>
  <si>
    <t>Jun Xian Tan</t>
  </si>
  <si>
    <t>Wooyoung Jung</t>
  </si>
  <si>
    <t>Eunkyu Moon</t>
  </si>
  <si>
    <t>HSIN-YING LEE</t>
  </si>
  <si>
    <t>LIANROU gone</t>
  </si>
  <si>
    <t>劉 ?廷</t>
  </si>
  <si>
    <t>KHOA CUNG</t>
  </si>
  <si>
    <t>アメリカ</t>
  </si>
  <si>
    <t>Chao Jek Thaddeus Diong</t>
  </si>
  <si>
    <t>Megumi Sakaguchi</t>
  </si>
  <si>
    <t>WU PEIYUAN</t>
  </si>
  <si>
    <t>Low Zhiling</t>
  </si>
  <si>
    <t>Michael Coogan</t>
  </si>
  <si>
    <t>Nikolos Schatz</t>
  </si>
  <si>
    <t>Miko Lee</t>
  </si>
  <si>
    <t>Ian Pusung</t>
  </si>
  <si>
    <t>カナダ</t>
  </si>
  <si>
    <t>Davy Wang</t>
  </si>
  <si>
    <t>RIN OOSHIRO</t>
  </si>
  <si>
    <t>Chihiro Morosawa</t>
  </si>
  <si>
    <t>JIYUN JANG</t>
  </si>
  <si>
    <t>VITO LAI</t>
  </si>
  <si>
    <t>Yuki DAIMARU</t>
  </si>
  <si>
    <t>Samantha Choy Lan Lowe</t>
  </si>
  <si>
    <t>JIAMIN LIU</t>
  </si>
  <si>
    <t>DONGHOO KIM</t>
  </si>
  <si>
    <t>KIM SEONGYEONG</t>
  </si>
  <si>
    <t>ELJUNG YU</t>
  </si>
  <si>
    <t>SHOUGANG MI</t>
  </si>
  <si>
    <t>PAK HO CHAN</t>
  </si>
  <si>
    <t>Abdalla Alshamsi</t>
  </si>
  <si>
    <t>一休</t>
  </si>
  <si>
    <t>星琢也</t>
  </si>
  <si>
    <t>持田 昭茂</t>
  </si>
  <si>
    <t>Teng An Yun</t>
  </si>
  <si>
    <t>Jay Whitmore</t>
  </si>
  <si>
    <t>湯下 真彦</t>
  </si>
  <si>
    <t>小谷野 進</t>
  </si>
  <si>
    <t>松原 康博</t>
  </si>
  <si>
    <t>Shu Lee</t>
  </si>
  <si>
    <t>HYUNWOO JUNG</t>
  </si>
  <si>
    <t>松野 育</t>
  </si>
  <si>
    <t>吉田 顕栄郎</t>
  </si>
  <si>
    <t>予約サイト
名称</t>
  </si>
  <si>
    <t>国・地域</t>
  </si>
  <si>
    <t>大人
人数</t>
  </si>
  <si>
    <t>子供人数</t>
  </si>
  <si>
    <t>サイド別銀行
入金小計</t>
  </si>
  <si>
    <t>ポイント
割引額</t>
  </si>
  <si>
    <t>Mark Joshua Evangelista</t>
  </si>
  <si>
    <t>フィリピン</t>
  </si>
  <si>
    <t>Nic Slater</t>
  </si>
  <si>
    <t>南翔 黄</t>
  </si>
  <si>
    <t>Frederico Debotts</t>
  </si>
  <si>
    <t>Mj K</t>
  </si>
  <si>
    <t>Keiko Hayashi</t>
  </si>
  <si>
    <t>Yerim hur</t>
  </si>
  <si>
    <t>Chi Ho Chan</t>
  </si>
  <si>
    <t>Nayeon kang</t>
  </si>
  <si>
    <t>Wen Dong</t>
  </si>
  <si>
    <t>PEI LUN YU</t>
  </si>
  <si>
    <t>Eunseong Kang</t>
  </si>
  <si>
    <t>CHO HANGIL</t>
  </si>
  <si>
    <t>HyeJin Kim</t>
  </si>
  <si>
    <t>sunyoung LEE</t>
  </si>
  <si>
    <t>Vanessa Pius</t>
  </si>
  <si>
    <t>CHIA-HAO CHANG</t>
  </si>
  <si>
    <t>YANG ZHIKUN</t>
  </si>
  <si>
    <t>Alisa Nelipa</t>
  </si>
  <si>
    <t>ロシア</t>
  </si>
  <si>
    <t>TSAI HSIU CHING</t>
  </si>
  <si>
    <t>Arturo Fukuda</t>
  </si>
  <si>
    <t>ペルー</t>
  </si>
  <si>
    <t>SU YU-FEN</t>
  </si>
  <si>
    <t>Kyung Jin Lee</t>
  </si>
  <si>
    <t>Tsai Shang Yu</t>
  </si>
  <si>
    <t>Areeya Suwanpanarak</t>
  </si>
  <si>
    <t>タイ</t>
  </si>
  <si>
    <t>ZHANG XIAOYANG</t>
  </si>
  <si>
    <t>Juan Teran</t>
  </si>
  <si>
    <t>JINWOO PARK</t>
  </si>
  <si>
    <t>Chang Hui Chuan</t>
  </si>
  <si>
    <t>OH JOO EUN</t>
  </si>
  <si>
    <t>FU MINSHAN</t>
  </si>
  <si>
    <t>NG POH PENG</t>
  </si>
  <si>
    <t>Kang Seongha</t>
  </si>
  <si>
    <t>yajing qian</t>
  </si>
  <si>
    <t>MINKYU SHIN</t>
  </si>
  <si>
    <t>SZE LOK TSUI</t>
  </si>
  <si>
    <t>HYUNSUN JEON</t>
  </si>
  <si>
    <t>SOYOUNG LEE</t>
  </si>
  <si>
    <t>Meiyen Hsu</t>
  </si>
  <si>
    <t>ブータン</t>
  </si>
  <si>
    <t>WEI CHEN LIN</t>
  </si>
  <si>
    <t>HANEUL LIM</t>
  </si>
  <si>
    <t>YUJIN KIM</t>
  </si>
  <si>
    <t>Sun Jae Lee</t>
  </si>
  <si>
    <t>JION PARK</t>
  </si>
  <si>
    <t>五島 良依</t>
  </si>
  <si>
    <t>YUNA</t>
  </si>
  <si>
    <t>遠藤華枝</t>
  </si>
  <si>
    <t>坂本 敏学</t>
  </si>
  <si>
    <t>微信支付：8288</t>
  </si>
  <si>
    <t>微信支付：2605.48</t>
  </si>
  <si>
    <t>宿泊延べ日数</t>
    <phoneticPr fontId="1"/>
  </si>
  <si>
    <t>ホテル運営分析データ表</t>
    <phoneticPr fontId="16"/>
  </si>
  <si>
    <t>① 物件基本情報</t>
  </si>
  <si>
    <t>③ 客源平台（チャネル別）</t>
  </si>
  <si>
    <t>A（項目）</t>
  </si>
  <si>
    <t>B（値）</t>
  </si>
  <si>
    <t>D（チャネル）</t>
  </si>
  <si>
    <t>E（売上）</t>
  </si>
  <si>
    <t>F（予約件数）</t>
  </si>
  <si>
    <t>G（売上構成比）</t>
  </si>
  <si>
    <t>分析開始日（チェクアウト日基準）</t>
  </si>
  <si>
    <t>分析終了日（チェクアウト日基準）</t>
  </si>
  <si>
    <t>延床面積（㎡）</t>
  </si>
  <si>
    <t>客室数</t>
  </si>
  <si>
    <t>総売上（円）</t>
  </si>
  <si>
    <t>総宿泊人数（人）</t>
  </si>
  <si>
    <t>じゃらん</t>
  </si>
  <si>
    <t>宿泊延べ日数（人泊）※</t>
  </si>
  <si>
    <t>販売可能室数（室）</t>
  </si>
  <si>
    <t>自社</t>
  </si>
  <si>
    <t>販売可能室泊（室泊）</t>
  </si>
  <si>
    <t>実販売室泊（室泊）</t>
  </si>
  <si>
    <t>キャンセル件数（件）</t>
  </si>
  <si>
    <t>予約総件数（件）</t>
  </si>
  <si>
    <t>キャンセル室泊（室泊）</t>
  </si>
  <si>
    <t>※「宿泊延べ日数（人泊）」＝各予約の「人数×泊数」の合計（人泊）。</t>
  </si>
  <si>
    <t>「実販売室泊（室泊）」＝各予約の「室数×泊数」の合計（室泊）。</t>
  </si>
  <si>
    <t>② 計算（自動）</t>
  </si>
  <si>
    <t>期間日数（日数）</t>
  </si>
  <si>
    <t>稼働率（OCC）</t>
  </si>
  <si>
    <t>ADR（平均客室単価）</t>
  </si>
  <si>
    <t>人数単価（人均単価：1人あたり）</t>
  </si>
  <si>
    <t>RevPAR（1室当たり収益）</t>
  </si>
  <si>
    <t>㎡単価（日額）＝「1㎡あたり1日」</t>
  </si>
  <si>
    <t>取消率（件数ベース）</t>
  </si>
  <si>
    <t>取消稼働率（室泊ベース）</t>
  </si>
  <si>
    <t>部屋番号</t>
  </si>
  <si>
    <t>客室タイプごとの平均宿泊人数（1泊あたり）</t>
  </si>
  <si>
    <t>面積（㎡）</t>
  </si>
  <si>
    <t>客室タイプごとの稼働率</t>
  </si>
  <si>
    <t>OTA別</t>
    <rPh sb="3" eb="4">
      <t xml:space="preserve">ベツ </t>
    </rPh>
    <phoneticPr fontId="1"/>
  </si>
  <si>
    <t>合計</t>
    <phoneticPr fontId="1"/>
  </si>
  <si>
    <t>Expedia</t>
    <phoneticPr fontId="1"/>
  </si>
  <si>
    <t>ホテル運営分析データ表</t>
  </si>
  <si>
    <t>TH（カ</t>
    <phoneticPr fontId="1"/>
  </si>
  <si>
    <t>杉原</t>
    <rPh sb="0" eb="2">
      <t xml:space="preserve">スギハラ </t>
    </rPh>
    <phoneticPr fontId="1"/>
  </si>
  <si>
    <t>金城</t>
    <rPh sb="0" eb="2">
      <t xml:space="preserve">カネシロ </t>
    </rPh>
    <phoneticPr fontId="1"/>
  </si>
  <si>
    <t>LlN CHlUMEl</t>
    <phoneticPr fontId="1"/>
  </si>
  <si>
    <t>LlN CHl</t>
    <phoneticPr fontId="1"/>
  </si>
  <si>
    <t>王先生</t>
    <rPh sb="0" eb="1">
      <t>wang</t>
    </rPh>
    <rPh sb="1" eb="2">
      <t>xian s</t>
    </rPh>
    <phoneticPr fontId="1"/>
  </si>
  <si>
    <t>Jihyun Hong</t>
    <phoneticPr fontId="1"/>
  </si>
  <si>
    <t>yun Hong</t>
    <phoneticPr fontId="1"/>
  </si>
  <si>
    <t>wang yan</t>
    <phoneticPr fontId="1"/>
  </si>
  <si>
    <t>舜日（liu siyu）</t>
    <rPh sb="0" eb="1">
      <t>shun ri</t>
    </rPh>
    <phoneticPr fontId="1"/>
  </si>
  <si>
    <t>舜日（song yan)</t>
    <rPh sb="0" eb="1">
      <t>shun ri</t>
    </rPh>
    <phoneticPr fontId="1"/>
  </si>
  <si>
    <r>
      <rPr>
        <sz val="10"/>
        <color rgb="FFFF0000"/>
        <rFont val="Microsoft JhengHei"/>
        <family val="2"/>
        <charset val="136"/>
      </rPr>
      <t>线</t>
    </r>
    <r>
      <rPr>
        <sz val="10"/>
        <color rgb="FFFF0000"/>
        <rFont val="HG丸ｺﾞｼｯｸM-PRO"/>
        <family val="2"/>
        <charset val="128"/>
      </rPr>
      <t>下</t>
    </r>
    <r>
      <rPr>
        <sz val="10"/>
        <color rgb="FFFF0000"/>
        <rFont val="Microsoft JhengHei"/>
        <family val="2"/>
        <charset val="136"/>
      </rPr>
      <t>订单</t>
    </r>
    <rPh sb="0" eb="1">
      <t>xian xia</t>
    </rPh>
    <rPh sb="2" eb="3">
      <t>ding dna</t>
    </rPh>
    <phoneticPr fontId="16"/>
  </si>
  <si>
    <t>宿泊延べ日数（人泊）※</t>
    <phoneticPr fontId="1"/>
  </si>
  <si>
    <t>ホテル運営分析データ表(2026年2月分）</t>
    <phoneticPr fontId="1"/>
  </si>
  <si>
    <r>
      <rPr>
        <sz val="10"/>
        <color theme="1"/>
        <rFont val="メイリオ"/>
        <family val="2"/>
        <charset val="128"/>
      </rPr>
      <t>채연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メイリオ"/>
        <family val="2"/>
        <charset val="128"/>
      </rPr>
      <t>박</t>
    </r>
  </si>
  <si>
    <r>
      <rPr>
        <sz val="10"/>
        <color theme="1"/>
        <rFont val="Apple SD Gothic Neo"/>
        <family val="2"/>
        <charset val="129"/>
      </rPr>
      <t>루마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Apple SD Gothic Neo"/>
        <family val="2"/>
        <charset val="129"/>
      </rPr>
      <t>이</t>
    </r>
  </si>
  <si>
    <r>
      <rPr>
        <sz val="10"/>
        <color theme="1"/>
        <rFont val="メイリオ"/>
        <family val="2"/>
        <charset val="128"/>
      </rPr>
      <t>线</t>
    </r>
    <r>
      <rPr>
        <sz val="10"/>
        <color theme="1"/>
        <rFont val="HG丸ｺﾞｼｯｸM-PRO"/>
        <family val="2"/>
        <charset val="128"/>
      </rPr>
      <t>下</t>
    </r>
  </si>
  <si>
    <r>
      <rPr>
        <sz val="10"/>
        <color theme="1"/>
        <rFont val="メイリオ"/>
        <family val="2"/>
        <charset val="128"/>
      </rPr>
      <t>杨总</t>
    </r>
    <r>
      <rPr>
        <sz val="10"/>
        <color theme="1"/>
        <rFont val="HG丸ｺﾞｼｯｸM-PRO"/>
        <family val="2"/>
        <charset val="128"/>
      </rPr>
      <t>客人宋</t>
    </r>
  </si>
  <si>
    <r>
      <rPr>
        <sz val="10"/>
        <color theme="1"/>
        <rFont val="メイリオ"/>
        <family val="2"/>
        <charset val="128"/>
      </rPr>
      <t>杨总</t>
    </r>
    <r>
      <rPr>
        <sz val="10"/>
        <color theme="1"/>
        <rFont val="HG丸ｺﾞｼｯｸM-PRO"/>
        <family val="2"/>
        <charset val="128"/>
      </rPr>
      <t>客人岳</t>
    </r>
  </si>
  <si>
    <t>Trip.com</t>
    <phoneticPr fontId="1"/>
  </si>
  <si>
    <t>じゃらん</t>
    <phoneticPr fontId="1"/>
  </si>
  <si>
    <t>大人人数</t>
  </si>
  <si>
    <t>Alexis Tan Stephanie Low</t>
  </si>
  <si>
    <t>Jacky Ho</t>
  </si>
  <si>
    <t>Krystal Dinh</t>
  </si>
  <si>
    <t>Alexandre Oliveira</t>
  </si>
  <si>
    <t>Marie-Claude Wick</t>
  </si>
  <si>
    <t>Hoi Tung Lau</t>
  </si>
  <si>
    <t>joanna veal</t>
  </si>
  <si>
    <t>イギリス</t>
  </si>
  <si>
    <t>Lin Yo jing</t>
  </si>
  <si>
    <t>Maryline PEYRICHOUX</t>
  </si>
  <si>
    <t>フランス</t>
  </si>
  <si>
    <t>Thomas Dixon</t>
  </si>
  <si>
    <t>JI-HEE YANG</t>
  </si>
  <si>
    <t>Tsuboya Taketo</t>
  </si>
  <si>
    <t>Cheyenne Taylor</t>
  </si>
  <si>
    <t>Maria Zaleska</t>
  </si>
  <si>
    <t>ポーランド</t>
  </si>
  <si>
    <t>Wong Yuk Yu</t>
  </si>
  <si>
    <t>蘇 琬琪</t>
  </si>
  <si>
    <t>ohayon Gala</t>
  </si>
  <si>
    <t>イスラエル</t>
  </si>
  <si>
    <t>Ozlem Gurses Ali Kaan Tavsan Sinan Tavsam</t>
  </si>
  <si>
    <t>トルコ</t>
  </si>
  <si>
    <t>Tyler Laczko</t>
  </si>
  <si>
    <t>ZENG XIANGRU</t>
  </si>
  <si>
    <t>Ethan Davis</t>
  </si>
  <si>
    <t>MORIWAKI AYUMI</t>
  </si>
  <si>
    <t>Felix Rydl</t>
  </si>
  <si>
    <t>ドイツ</t>
  </si>
  <si>
    <t>Jones Kaori</t>
  </si>
  <si>
    <t>Tsai Chia-Han</t>
  </si>
  <si>
    <t>HanYi Lin</t>
  </si>
  <si>
    <t>Jason Blanchard</t>
  </si>
  <si>
    <t>Anna Decorato</t>
  </si>
  <si>
    <t>Maria Cielito Sarsagat</t>
  </si>
  <si>
    <t>Hsieh Ya-Ting</t>
  </si>
  <si>
    <t>Linda Huynh</t>
  </si>
  <si>
    <t>Tracy Kolpa</t>
  </si>
  <si>
    <t>Lan Zhu</t>
  </si>
  <si>
    <t>Inge Jentink</t>
  </si>
  <si>
    <t>オランダ</t>
  </si>
  <si>
    <t>Barbara Platt</t>
  </si>
  <si>
    <t>Martin Blatchford</t>
  </si>
  <si>
    <t>Annalisa Cosenza</t>
  </si>
  <si>
    <t>イタリア</t>
  </si>
  <si>
    <t>Emma Murchie</t>
  </si>
  <si>
    <t>Rebecca Corcoran</t>
  </si>
  <si>
    <t>Renee L. Lieu</t>
  </si>
  <si>
    <t>Aya Yamaguchi</t>
  </si>
  <si>
    <t>Marco Musillo</t>
  </si>
  <si>
    <t>tatura junko</t>
  </si>
  <si>
    <t>Lloyd Bernardo</t>
  </si>
  <si>
    <t>Tiffany De Leon</t>
  </si>
  <si>
    <t>Ailene Pecayo</t>
  </si>
  <si>
    <t>Michal Becher</t>
  </si>
  <si>
    <t>Chad Oda</t>
  </si>
  <si>
    <t>Attila Don</t>
  </si>
  <si>
    <t>Ravit Nissani</t>
  </si>
  <si>
    <t>Anne-Sophie Larue</t>
  </si>
  <si>
    <t>ルクセンブルク</t>
  </si>
  <si>
    <t>YONGSUK JUNG</t>
  </si>
  <si>
    <t>Hassan Osama</t>
  </si>
  <si>
    <t>chin yi wu</t>
  </si>
  <si>
    <t>スペイン</t>
  </si>
  <si>
    <t>Sharon Williams</t>
  </si>
  <si>
    <t>MOENO TANABE</t>
  </si>
  <si>
    <t>Samonica Bustos</t>
  </si>
  <si>
    <t>Jason Le</t>
  </si>
  <si>
    <t>Yun Yeong Lee</t>
  </si>
  <si>
    <t>大平 里美</t>
  </si>
  <si>
    <t>MIN HENG CHUANG</t>
  </si>
  <si>
    <t>西田 隆美</t>
  </si>
  <si>
    <t>振り込み</t>
  </si>
  <si>
    <t>ホテル運営分析データ表(2026年3月分）</t>
  </si>
  <si>
    <r>
      <rPr>
        <sz val="9"/>
        <color theme="1"/>
        <rFont val="Apple SD Gothic Neo"/>
        <family val="2"/>
        <charset val="129"/>
      </rPr>
      <t>정웅</t>
    </r>
    <r>
      <rPr>
        <sz val="9"/>
        <color theme="1"/>
        <rFont val="HG丸ｺﾞｼｯｸM-PRO"/>
        <family val="2"/>
        <charset val="128"/>
      </rPr>
      <t xml:space="preserve"> </t>
    </r>
    <r>
      <rPr>
        <sz val="9"/>
        <color theme="1"/>
        <rFont val="Apple SD Gothic Neo"/>
        <family val="2"/>
        <charset val="129"/>
      </rPr>
      <t>박</t>
    </r>
  </si>
  <si>
    <t>目標</t>
    <rPh sb="0" eb="2">
      <t xml:space="preserve">モクヒョウ </t>
    </rPh>
    <phoneticPr fontId="1"/>
  </si>
  <si>
    <t>達成率</t>
    <rPh sb="0" eb="2">
      <t xml:space="preserve">タッセイ </t>
    </rPh>
    <rPh sb="2" eb="3">
      <t xml:space="preserve">リツ </t>
    </rPh>
    <phoneticPr fontId="1"/>
  </si>
  <si>
    <t>現地決済</t>
  </si>
  <si>
    <t>China</t>
  </si>
  <si>
    <t>舜日お客様 杉原紹介</t>
  </si>
  <si>
    <t>LAKU 43.1㎡</t>
  </si>
  <si>
    <r>
      <t>线下</t>
    </r>
    <r>
      <rPr>
        <sz val="9"/>
        <color theme="1"/>
        <rFont val="宋体-简"/>
        <family val="1"/>
        <charset val="134"/>
      </rPr>
      <t>订单</t>
    </r>
  </si>
  <si>
    <t>R374589688</t>
  </si>
  <si>
    <t>舜日お客杉原紹介</t>
  </si>
  <si>
    <t>LAKU 29.9㎡</t>
  </si>
  <si>
    <t>R139179698</t>
  </si>
  <si>
    <t>Japan</t>
  </si>
  <si>
    <t>松本 貴子</t>
  </si>
  <si>
    <t>0FMTH6X2</t>
  </si>
  <si>
    <t>FUMIKO TANAKA</t>
  </si>
  <si>
    <t>LAKU 46.64㎡</t>
  </si>
  <si>
    <t>Taiwan</t>
  </si>
  <si>
    <t>SUNG YEN HSIEH</t>
  </si>
  <si>
    <t>YUCHEN HUANG</t>
  </si>
  <si>
    <t>LAKU 36.7㎡</t>
  </si>
  <si>
    <t>America</t>
  </si>
  <si>
    <t>kristy duong</t>
  </si>
  <si>
    <t>Ray Siu</t>
  </si>
  <si>
    <t>Michael Hoenmans</t>
  </si>
  <si>
    <t>LAKU 60.22㎡</t>
  </si>
  <si>
    <t>Thailand</t>
  </si>
  <si>
    <t>Mikhail Khvochtchev</t>
  </si>
  <si>
    <t>Weijai Chang</t>
  </si>
  <si>
    <t>Hong Kong</t>
  </si>
  <si>
    <t>Kin Man Yeung</t>
  </si>
  <si>
    <t>Korea</t>
  </si>
  <si>
    <t>김 혜환</t>
  </si>
  <si>
    <t>HMPCNN28FB</t>
  </si>
  <si>
    <t>Indonesia</t>
  </si>
  <si>
    <t>Abdul Mattin</t>
  </si>
  <si>
    <t>HMKHE2ZAXF</t>
  </si>
  <si>
    <t>Hernan Gustavo Garciamelan</t>
  </si>
  <si>
    <t>HM5TYFRMAD</t>
  </si>
  <si>
    <t>New Zealand</t>
  </si>
  <si>
    <t>Silvio Bruinsma</t>
  </si>
  <si>
    <t>Singapore</t>
  </si>
  <si>
    <t>Bee Lian Ang</t>
  </si>
  <si>
    <t>Australia</t>
  </si>
  <si>
    <t>Joanne Burgess101</t>
  </si>
  <si>
    <t>Merial Trounce</t>
  </si>
  <si>
    <t>Canada</t>
  </si>
  <si>
    <t>Jeanne Lu301</t>
  </si>
  <si>
    <t>Keith Rosenberg</t>
  </si>
  <si>
    <t>Joshua Goodman</t>
  </si>
  <si>
    <t>France</t>
  </si>
  <si>
    <t>Jasmine Cros</t>
  </si>
  <si>
    <t>Finland</t>
  </si>
  <si>
    <t>Marina Helle</t>
  </si>
  <si>
    <t>Poland</t>
  </si>
  <si>
    <t>Marta Jędryszek</t>
  </si>
  <si>
    <t>Norway</t>
  </si>
  <si>
    <t>Østeraas Pia Kristin301</t>
  </si>
  <si>
    <t>Haylei Bertelsen</t>
  </si>
  <si>
    <t>Justin Young101</t>
  </si>
  <si>
    <t>MAKOTO KINOSHITA</t>
  </si>
  <si>
    <t>Wu Y Ting</t>
  </si>
  <si>
    <t>Isaac Ewart</t>
  </si>
  <si>
    <t>Demsy Orvin</t>
  </si>
  <si>
    <t>Patrick Haslett</t>
  </si>
  <si>
    <t>Madeleine Burgess101ベビーベッド</t>
  </si>
  <si>
    <t>Lin Peiling</t>
  </si>
  <si>
    <t>Tomoko Sugaya</t>
  </si>
  <si>
    <t>WU CHONG WEI</t>
  </si>
  <si>
    <t>Belgium</t>
  </si>
  <si>
    <t>Dylan Armut</t>
  </si>
  <si>
    <t>Nargiza Tashybekova</t>
  </si>
  <si>
    <t>Nancy Demuynck</t>
  </si>
  <si>
    <t>Julien Murigneux</t>
  </si>
  <si>
    <t>Le Wang</t>
  </si>
  <si>
    <t>United Kingdom</t>
  </si>
  <si>
    <t>Louis Morris</t>
  </si>
  <si>
    <t>Cassandra Benjamin</t>
  </si>
  <si>
    <t>jean-gabriel pointeau</t>
  </si>
  <si>
    <t>Sabrina Gross</t>
  </si>
  <si>
    <t>Netherlands</t>
  </si>
  <si>
    <t>Kiki Abels</t>
  </si>
  <si>
    <t>Jeremy Gibbons</t>
  </si>
  <si>
    <t>kusuma mutitaskul</t>
  </si>
  <si>
    <t>Kusuma Chongvisal</t>
  </si>
  <si>
    <t>YiTing Hsu</t>
  </si>
  <si>
    <t>Brazil</t>
  </si>
  <si>
    <t>Vanessa Suemi Uesugi</t>
  </si>
  <si>
    <t>Switzerland</t>
  </si>
  <si>
    <t>Astrid Reitz</t>
  </si>
  <si>
    <t>KUKI KAORU</t>
  </si>
  <si>
    <t>Mana Kawai</t>
  </si>
  <si>
    <t>Karen Chen</t>
  </si>
  <si>
    <t>Yoshida Keiji</t>
  </si>
  <si>
    <t>Brent Jurmu</t>
  </si>
  <si>
    <t>Raymond Foo</t>
  </si>
  <si>
    <t>Rebecca Stinson</t>
  </si>
  <si>
    <t>Rob Meijers</t>
  </si>
  <si>
    <t>Nur Amirah Mohd Isa</t>
  </si>
  <si>
    <t>泊延べ日数</t>
  </si>
  <si>
    <t>入金日</t>
  </si>
  <si>
    <t>受取金</t>
  </si>
  <si>
    <t>OTA サービス料</t>
  </si>
  <si>
    <t>子供</t>
  </si>
  <si>
    <t>大人</t>
  </si>
  <si>
    <t>ゲスト名</t>
  </si>
  <si>
    <t>予約サイト</t>
  </si>
  <si>
    <t>予約日</t>
  </si>
  <si>
    <t>予約番号</t>
  </si>
  <si>
    <t>自社予約</t>
  </si>
  <si>
    <t>ホテル運営分析データ表(2026年4月分）</t>
  </si>
  <si>
    <t>E（売上）</t>
    <phoneticPr fontId="1"/>
  </si>
  <si>
    <t>F（予約件数）</t>
    <phoneticPr fontId="1"/>
  </si>
  <si>
    <t>G（売上構成比）</t>
    <phoneticPr fontId="1"/>
  </si>
  <si>
    <t>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</si>
</sst>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_);[Red]\(&quot;¥&quot;#,##0\)"/>
    <numFmt numFmtId="164" formatCode="&quot;\&quot;#,##0_);[Red]\(&quot;\&quot;#,##0\)"/>
    <numFmt numFmtId="165" formatCode="yyyy/m/d;@"/>
    <numFmt numFmtId="166" formatCode="0_);[Red]\(0\)"/>
    <numFmt numFmtId="167" formatCode="0.00_);[Red]\(0.00\)"/>
    <numFmt numFmtId="168" formatCode="_-&quot;\&quot;* #,##0_-\ ;\-&quot;\&quot;* #,##0_-\ ;_-&quot;\&quot;* &quot;-&quot;??_-\ ;_-@_-"/>
    <numFmt numFmtId="169" formatCode="0.0%"/>
    <numFmt numFmtId="170" formatCode="0.0_);[Red]\(0.0\)"/>
    <numFmt numFmtId="171" formatCode="[$¥-411]#,##0_);[Red]\([$¥-411]#,##0\)"/>
  </numFmts>
  <fonts count="40">
    <font>
      <sz val="12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6"/>
      <name val="Yu Gothic"/>
      <family val="3"/>
      <charset val="128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  <font>
      <sz val="12"/>
      <color theme="1"/>
      <name val="Aptos Narrow"/>
      <family val="2"/>
      <charset val="128"/>
      <scheme val="minor"/>
    </font>
    <font>
      <sz val="11"/>
      <color theme="1"/>
      <name val="HG丸ｺﾞｼｯｸM-PRO"/>
      <family val="2"/>
      <charset val="128"/>
    </font>
    <font>
      <b/>
      <sz val="9"/>
      <name val="SimSun"/>
      <charset val="134"/>
    </font>
    <font>
      <sz val="9"/>
      <name val="SimSun"/>
      <charset val="134"/>
    </font>
    <font>
      <sz val="10"/>
      <name val="SimSun"/>
      <charset val="134"/>
    </font>
    <font>
      <sz val="10"/>
      <color theme="1"/>
      <name val="HG丸ｺﾞｼｯｸM-PRO"/>
      <family val="2"/>
      <charset val="128"/>
    </font>
    <font>
      <sz val="8"/>
      <color theme="1"/>
      <name val="HG丸ｺﾞｼｯｸM-PRO"/>
      <family val="2"/>
      <charset val="128"/>
    </font>
    <font>
      <sz val="9"/>
      <color theme="1"/>
      <name val="HG丸ｺﾞｼｯｸM-PRO"/>
      <family val="2"/>
      <charset val="128"/>
    </font>
    <font>
      <b/>
      <sz val="10"/>
      <color theme="1"/>
      <name val="HG丸ｺﾞｼｯｸM-PRO"/>
      <family val="2"/>
      <charset val="128"/>
    </font>
    <font>
      <b/>
      <sz val="11"/>
      <color theme="1"/>
      <name val="HG丸ｺﾞｼｯｸM-PRO"/>
      <family val="2"/>
      <charset val="128"/>
    </font>
    <font>
      <sz val="10"/>
      <color theme="1"/>
      <name val="MS UI Gothic"/>
      <family val="2"/>
      <charset val="128"/>
    </font>
    <font>
      <sz val="6"/>
      <name val="Aptos Narrow"/>
      <family val="3"/>
      <charset val="128"/>
      <scheme val="minor"/>
    </font>
    <font>
      <u/>
      <sz val="10"/>
      <color theme="1"/>
      <name val="HG丸ｺﾞｼｯｸM-PRO"/>
      <family val="2"/>
      <charset val="128"/>
    </font>
    <font>
      <sz val="10"/>
      <color theme="1"/>
      <name val="Microsoft JhengHei"/>
      <family val="2"/>
      <charset val="136"/>
    </font>
    <font>
      <sz val="9"/>
      <color theme="1"/>
      <name val="Apple SD Gothic Neo"/>
      <family val="2"/>
      <charset val="129"/>
    </font>
    <font>
      <sz val="12"/>
      <color theme="1"/>
      <name val="HG丸ｺﾞｼｯｸM-PRO"/>
      <family val="2"/>
      <charset val="128"/>
    </font>
    <font>
      <sz val="8"/>
      <color rgb="FF0E0E0E"/>
      <name val="HG丸ｺﾞｼｯｸM-PRO"/>
      <family val="2"/>
      <charset val="128"/>
    </font>
    <font>
      <b/>
      <sz val="12"/>
      <color theme="1"/>
      <name val="Aptos Narrow"/>
      <family val="2"/>
      <charset val="128"/>
      <scheme val="minor"/>
    </font>
    <font>
      <sz val="10"/>
      <name val="HG丸ｺﾞｼｯｸM-PRO"/>
      <family val="2"/>
      <charset val="128"/>
    </font>
    <font>
      <sz val="10"/>
      <color rgb="FFFF0000"/>
      <name val="HG丸ｺﾞｼｯｸM-PRO"/>
      <family val="2"/>
      <charset val="128"/>
    </font>
    <font>
      <sz val="10"/>
      <color rgb="FFFF0000"/>
      <name val="Microsoft JhengHei"/>
      <family val="2"/>
      <charset val="136"/>
    </font>
    <font>
      <sz val="11"/>
      <color theme="1"/>
      <name val="Aptos Narrow"/>
      <family val="2"/>
      <charset val="128"/>
      <scheme val="minor"/>
    </font>
    <font>
      <sz val="10"/>
      <color theme="1"/>
      <name val="メイリオ"/>
      <family val="2"/>
      <charset val="128"/>
    </font>
    <font>
      <sz val="10"/>
      <color theme="1"/>
      <name val="Apple SD Gothic Neo"/>
      <family val="2"/>
      <charset val="129"/>
    </font>
    <font>
      <sz val="16"/>
      <color theme="1"/>
      <name val="Aptos Narrow"/>
      <family val="3"/>
      <charset val="128"/>
      <scheme val="minor"/>
    </font>
    <font>
      <b/>
      <sz val="16"/>
      <color theme="1"/>
      <name val="Aptos Narrow"/>
      <family val="3"/>
      <charset val="128"/>
      <scheme val="minor"/>
    </font>
    <font>
      <b/>
      <sz val="12"/>
      <color theme="1"/>
      <name val="Aptos Narrow"/>
      <family val="3"/>
      <charset val="128"/>
      <scheme val="minor"/>
    </font>
    <font>
      <b/>
      <sz val="16"/>
      <color theme="1"/>
      <name val="HG丸ｺﾞｼｯｸM-PRO"/>
      <family val="2"/>
      <charset val="128"/>
    </font>
    <font>
      <b/>
      <sz val="16"/>
      <color rgb="FFFF0000"/>
      <name val="Aptos Narrow"/>
      <family val="3"/>
      <charset val="128"/>
      <scheme val="minor"/>
    </font>
    <font>
      <b/>
      <sz val="12"/>
      <color rgb="FFFF0000"/>
      <name val="Aptos Narrow"/>
      <family val="3"/>
      <charset val="128"/>
      <scheme val="minor"/>
    </font>
    <font>
      <sz val="16"/>
      <color rgb="FFFF0000"/>
      <name val="Aptos Narrow"/>
      <family val="3"/>
      <charset val="128"/>
      <scheme val="minor"/>
    </font>
    <font>
      <sz val="16"/>
      <color theme="1"/>
      <name val="Aptos Narrow"/>
      <family val="2"/>
      <charset val="128"/>
      <scheme val="minor"/>
    </font>
    <font>
      <sz val="9"/>
      <color theme="1"/>
      <name val="宋体-简"/>
      <family val="1"/>
      <charset val="134"/>
    </font>
    <font>
      <sz val="12"/>
      <color theme="2" tint="-9.9978637043366805E-2"/>
      <name val="HG丸ｺﾞｼｯｸM-PRO"/>
      <family val="2"/>
      <charset val="128"/>
    </font>
    <font>
      <sz val="12"/>
      <color theme="1"/>
      <name val="Aptos Narrow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DC0BF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9" tint="0.79976805932798245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473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10" fillId="0" borderId="7" xfId="0" applyNumberFormat="1" applyFont="1" applyBorder="1" applyAlignment="1">
      <alignment horizontal="left" vertical="center"/>
    </xf>
    <xf numFmtId="14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14" fontId="10" fillId="0" borderId="9" xfId="0" applyNumberFormat="1" applyFont="1" applyBorder="1" applyAlignment="1">
      <alignment horizontal="left" vertical="center"/>
    </xf>
    <xf numFmtId="14" fontId="10" fillId="0" borderId="10" xfId="0" applyNumberFormat="1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164" fontId="10" fillId="0" borderId="10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14" fontId="10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64" fontId="10" fillId="0" borderId="1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14" fontId="10" fillId="0" borderId="19" xfId="0" applyNumberFormat="1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64" fontId="10" fillId="0" borderId="19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14" fontId="10" fillId="0" borderId="18" xfId="0" applyNumberFormat="1" applyFont="1" applyBorder="1" applyAlignment="1">
      <alignment horizontal="left" vertical="center"/>
    </xf>
    <xf numFmtId="164" fontId="10" fillId="0" borderId="18" xfId="0" applyNumberFormat="1" applyFont="1" applyBorder="1" applyAlignment="1">
      <alignment horizontal="left" vertical="center"/>
    </xf>
    <xf numFmtId="14" fontId="10" fillId="0" borderId="20" xfId="0" applyNumberFormat="1" applyFont="1" applyBorder="1" applyAlignment="1">
      <alignment horizontal="left" vertical="center"/>
    </xf>
    <xf numFmtId="164" fontId="10" fillId="0" borderId="20" xfId="0" applyNumberFormat="1" applyFont="1" applyBorder="1" applyAlignment="1">
      <alignment horizontal="left" vertical="center"/>
    </xf>
    <xf numFmtId="49" fontId="14" fillId="3" borderId="13" xfId="0" applyNumberFormat="1" applyFont="1" applyFill="1" applyBorder="1" applyAlignment="1">
      <alignment horizontal="left" vertical="top" wrapText="1"/>
    </xf>
    <xf numFmtId="49" fontId="14" fillId="3" borderId="12" xfId="0" applyNumberFormat="1" applyFont="1" applyFill="1" applyBorder="1" applyAlignment="1">
      <alignment horizontal="left" vertical="top" wrapText="1"/>
    </xf>
    <xf numFmtId="164" fontId="14" fillId="3" borderId="12" xfId="0" applyNumberFormat="1" applyFont="1" applyFill="1" applyBorder="1" applyAlignment="1">
      <alignment horizontal="left" vertical="top" wrapText="1"/>
    </xf>
    <xf numFmtId="49" fontId="14" fillId="4" borderId="12" xfId="0" applyNumberFormat="1" applyFont="1" applyFill="1" applyBorder="1" applyAlignment="1">
      <alignment horizontal="left" vertical="top" wrapText="1"/>
    </xf>
    <xf numFmtId="49" fontId="14" fillId="4" borderId="14" xfId="0" applyNumberFormat="1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6" fontId="10" fillId="0" borderId="15" xfId="0" applyNumberFormat="1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49" fontId="10" fillId="0" borderId="7" xfId="0" applyNumberFormat="1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49" fontId="10" fillId="0" borderId="9" xfId="0" applyNumberFormat="1" applyFont="1" applyBorder="1" applyAlignment="1">
      <alignment horizontal="left" vertical="top"/>
    </xf>
    <xf numFmtId="49" fontId="10" fillId="0" borderId="10" xfId="0" applyNumberFormat="1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14" fontId="10" fillId="0" borderId="6" xfId="0" applyNumberFormat="1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6" fontId="10" fillId="0" borderId="5" xfId="0" applyNumberFormat="1" applyFont="1" applyBorder="1" applyAlignment="1">
      <alignment horizontal="left" vertical="top"/>
    </xf>
    <xf numFmtId="6" fontId="10" fillId="0" borderId="5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>
      <alignment horizontal="left" vertical="top"/>
    </xf>
    <xf numFmtId="14" fontId="10" fillId="0" borderId="5" xfId="0" applyNumberFormat="1" applyFont="1" applyBorder="1" applyAlignment="1">
      <alignment horizontal="left" vertical="top"/>
    </xf>
    <xf numFmtId="49" fontId="17" fillId="0" borderId="5" xfId="0" applyNumberFormat="1" applyFont="1" applyBorder="1" applyAlignment="1">
      <alignment horizontal="left" vertical="top"/>
    </xf>
    <xf numFmtId="49" fontId="17" fillId="0" borderId="10" xfId="0" applyNumberFormat="1" applyFont="1" applyBorder="1" applyAlignment="1">
      <alignment horizontal="left" vertical="top"/>
    </xf>
    <xf numFmtId="6" fontId="10" fillId="0" borderId="10" xfId="0" applyNumberFormat="1" applyFont="1" applyBorder="1" applyAlignment="1">
      <alignment horizontal="left" vertical="top"/>
    </xf>
    <xf numFmtId="6" fontId="10" fillId="0" borderId="10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left" vertical="top"/>
    </xf>
    <xf numFmtId="6" fontId="10" fillId="0" borderId="6" xfId="0" applyNumberFormat="1" applyFont="1" applyBorder="1" applyAlignment="1">
      <alignment horizontal="left" vertical="top"/>
    </xf>
    <xf numFmtId="49" fontId="14" fillId="3" borderId="13" xfId="0" applyNumberFormat="1" applyFont="1" applyFill="1" applyBorder="1" applyAlignment="1" applyProtection="1">
      <alignment horizontal="left" vertical="top"/>
      <protection locked="0"/>
    </xf>
    <xf numFmtId="49" fontId="14" fillId="3" borderId="12" xfId="0" applyNumberFormat="1" applyFont="1" applyFill="1" applyBorder="1" applyAlignment="1" applyProtection="1">
      <alignment horizontal="left" vertical="top"/>
      <protection locked="0"/>
    </xf>
    <xf numFmtId="164" fontId="10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6" fontId="10" fillId="0" borderId="15" xfId="0" applyNumberFormat="1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165" fontId="10" fillId="0" borderId="5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top"/>
    </xf>
    <xf numFmtId="165" fontId="10" fillId="0" borderId="7" xfId="0" applyNumberFormat="1" applyFont="1" applyBorder="1" applyAlignment="1">
      <alignment horizontal="left" vertical="center"/>
    </xf>
    <xf numFmtId="165" fontId="10" fillId="0" borderId="13" xfId="0" applyNumberFormat="1" applyFont="1" applyBorder="1" applyAlignment="1">
      <alignment horizontal="left" vertical="center"/>
    </xf>
    <xf numFmtId="165" fontId="10" fillId="0" borderId="12" xfId="0" applyNumberFormat="1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49" fontId="14" fillId="3" borderId="22" xfId="0" applyNumberFormat="1" applyFont="1" applyFill="1" applyBorder="1" applyAlignment="1">
      <alignment horizontal="left" vertical="top" wrapText="1"/>
    </xf>
    <xf numFmtId="49" fontId="14" fillId="3" borderId="15" xfId="0" applyNumberFormat="1" applyFont="1" applyFill="1" applyBorder="1" applyAlignment="1">
      <alignment horizontal="left" vertical="top" wrapText="1"/>
    </xf>
    <xf numFmtId="164" fontId="14" fillId="3" borderId="15" xfId="0" applyNumberFormat="1" applyFont="1" applyFill="1" applyBorder="1" applyAlignment="1">
      <alignment horizontal="left" vertical="top" wrapText="1"/>
    </xf>
    <xf numFmtId="49" fontId="14" fillId="3" borderId="23" xfId="0" applyNumberFormat="1" applyFont="1" applyFill="1" applyBorder="1" applyAlignment="1">
      <alignment horizontal="left" vertical="top" wrapText="1"/>
    </xf>
    <xf numFmtId="49" fontId="14" fillId="3" borderId="12" xfId="0" applyNumberFormat="1" applyFont="1" applyFill="1" applyBorder="1" applyAlignment="1" applyProtection="1">
      <alignment horizontal="left" vertical="top" wrapText="1"/>
      <protection locked="0"/>
    </xf>
    <xf numFmtId="0" fontId="20" fillId="5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6" borderId="28" xfId="0" applyFont="1" applyFill="1" applyBorder="1" applyAlignment="1">
      <alignment horizontal="left" vertical="center"/>
    </xf>
    <xf numFmtId="0" fontId="20" fillId="6" borderId="21" xfId="0" applyFont="1" applyFill="1" applyBorder="1" applyAlignment="1">
      <alignment horizontal="left" vertical="center"/>
    </xf>
    <xf numFmtId="0" fontId="20" fillId="6" borderId="27" xfId="0" applyFont="1" applyFill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0" fillId="0" borderId="30" xfId="0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/>
    </xf>
    <xf numFmtId="0" fontId="20" fillId="0" borderId="17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/>
    </xf>
    <xf numFmtId="14" fontId="20" fillId="0" borderId="34" xfId="0" applyNumberFormat="1" applyFont="1" applyBorder="1" applyAlignment="1">
      <alignment horizontal="left" vertical="center"/>
    </xf>
    <xf numFmtId="164" fontId="20" fillId="0" borderId="5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9" fontId="20" fillId="0" borderId="34" xfId="1" applyFont="1" applyBorder="1" applyAlignment="1">
      <alignment horizontal="center" vertical="center"/>
    </xf>
    <xf numFmtId="0" fontId="20" fillId="0" borderId="34" xfId="0" applyFont="1" applyBorder="1" applyAlignment="1">
      <alignment horizontal="left" vertical="center"/>
    </xf>
    <xf numFmtId="0" fontId="20" fillId="0" borderId="33" xfId="0" applyFont="1" applyBorder="1">
      <alignment vertical="center"/>
    </xf>
    <xf numFmtId="164" fontId="20" fillId="0" borderId="34" xfId="0" applyNumberFormat="1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164" fontId="20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9" fontId="20" fillId="0" borderId="37" xfId="1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3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169" fontId="20" fillId="0" borderId="34" xfId="1" applyNumberFormat="1" applyFont="1" applyBorder="1" applyAlignment="1">
      <alignment horizontal="left" vertical="center"/>
    </xf>
    <xf numFmtId="0" fontId="20" fillId="0" borderId="1" xfId="0" applyFont="1" applyBorder="1">
      <alignment vertical="center"/>
    </xf>
    <xf numFmtId="0" fontId="11" fillId="0" borderId="26" xfId="0" applyFont="1" applyBorder="1" applyAlignment="1">
      <alignment vertical="center" wrapText="1"/>
    </xf>
    <xf numFmtId="0" fontId="20" fillId="0" borderId="38" xfId="0" applyFont="1" applyBorder="1">
      <alignment vertical="center"/>
    </xf>
    <xf numFmtId="0" fontId="20" fillId="0" borderId="39" xfId="0" applyFont="1" applyBorder="1" applyAlignment="1">
      <alignment horizontal="center" vertical="center"/>
    </xf>
    <xf numFmtId="0" fontId="11" fillId="0" borderId="39" xfId="0" applyFont="1" applyBorder="1">
      <alignment vertical="center"/>
    </xf>
    <xf numFmtId="0" fontId="11" fillId="0" borderId="39" xfId="0" applyFont="1" applyBorder="1" applyAlignment="1">
      <alignment horizontal="left" vertical="center" wrapText="1"/>
    </xf>
    <xf numFmtId="0" fontId="11" fillId="0" borderId="39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0" fontId="20" fillId="0" borderId="41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44" xfId="0" applyFont="1" applyBorder="1" applyAlignment="1">
      <alignment horizontal="left" vertical="center"/>
    </xf>
    <xf numFmtId="0" fontId="20" fillId="0" borderId="24" xfId="0" applyFont="1" applyBorder="1" applyAlignment="1">
      <alignment horizontal="center" vertical="center"/>
    </xf>
    <xf numFmtId="166" fontId="20" fillId="0" borderId="5" xfId="1" applyNumberFormat="1" applyFont="1" applyBorder="1" applyAlignment="1">
      <alignment horizontal="center" vertical="center"/>
    </xf>
    <xf numFmtId="164" fontId="20" fillId="0" borderId="34" xfId="0" applyNumberFormat="1" applyFont="1" applyBorder="1" applyAlignment="1">
      <alignment horizontal="center" vertical="center"/>
    </xf>
    <xf numFmtId="169" fontId="20" fillId="0" borderId="18" xfId="1" applyNumberFormat="1" applyFont="1" applyBorder="1" applyAlignment="1">
      <alignment horizontal="center" vertical="center"/>
    </xf>
    <xf numFmtId="170" fontId="20" fillId="0" borderId="48" xfId="0" applyNumberFormat="1" applyFont="1" applyBorder="1" applyAlignment="1">
      <alignment horizontal="center" vertical="center"/>
    </xf>
    <xf numFmtId="169" fontId="20" fillId="0" borderId="5" xfId="1" applyNumberFormat="1" applyFont="1" applyBorder="1" applyAlignment="1">
      <alignment horizontal="center" vertical="center"/>
    </xf>
    <xf numFmtId="0" fontId="20" fillId="0" borderId="49" xfId="0" applyFont="1" applyBorder="1" applyAlignment="1">
      <alignment horizontal="left" vertical="center"/>
    </xf>
    <xf numFmtId="170" fontId="20" fillId="0" borderId="50" xfId="0" applyNumberFormat="1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166" fontId="20" fillId="0" borderId="18" xfId="1" applyNumberFormat="1" applyFont="1" applyBorder="1" applyAlignment="1">
      <alignment horizontal="center" vertical="center"/>
    </xf>
    <xf numFmtId="164" fontId="20" fillId="0" borderId="52" xfId="0" applyNumberFormat="1" applyFont="1" applyBorder="1" applyAlignment="1">
      <alignment horizontal="center" vertical="center"/>
    </xf>
    <xf numFmtId="0" fontId="20" fillId="0" borderId="26" xfId="0" applyFont="1" applyBorder="1">
      <alignment vertical="center"/>
    </xf>
    <xf numFmtId="0" fontId="20" fillId="0" borderId="38" xfId="0" applyFont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64" fontId="20" fillId="0" borderId="39" xfId="0" applyNumberFormat="1" applyFont="1" applyBorder="1" applyAlignment="1">
      <alignment horizontal="center" vertical="center"/>
    </xf>
    <xf numFmtId="169" fontId="20" fillId="0" borderId="39" xfId="1" applyNumberFormat="1" applyFont="1" applyBorder="1" applyAlignment="1">
      <alignment horizontal="center" vertical="center"/>
    </xf>
    <xf numFmtId="166" fontId="20" fillId="0" borderId="39" xfId="1" applyNumberFormat="1" applyFont="1" applyBorder="1" applyAlignment="1">
      <alignment horizontal="center" vertical="center"/>
    </xf>
    <xf numFmtId="164" fontId="20" fillId="0" borderId="40" xfId="0" applyNumberFormat="1" applyFont="1" applyBorder="1" applyAlignment="1">
      <alignment horizontal="center" vertical="center"/>
    </xf>
    <xf numFmtId="166" fontId="20" fillId="0" borderId="30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center" vertical="top"/>
    </xf>
    <xf numFmtId="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9" fontId="0" fillId="0" borderId="0" xfId="1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9" fontId="20" fillId="0" borderId="0" xfId="0" applyNumberFormat="1" applyFont="1">
      <alignment vertical="center"/>
    </xf>
    <xf numFmtId="166" fontId="20" fillId="0" borderId="0" xfId="0" applyNumberFormat="1" applyFo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20" fillId="0" borderId="0" xfId="0" applyFont="1" applyAlignment="1">
      <alignment horizontal="left" vertical="top"/>
    </xf>
    <xf numFmtId="169" fontId="0" fillId="0" borderId="0" xfId="1" applyNumberFormat="1" applyFont="1" applyAlignment="1">
      <alignment horizontal="center" vertical="top"/>
    </xf>
    <xf numFmtId="9" fontId="0" fillId="0" borderId="57" xfId="1" applyFont="1" applyBorder="1" applyAlignment="1">
      <alignment horizontal="center" vertical="top" wrapText="1"/>
    </xf>
    <xf numFmtId="9" fontId="0" fillId="0" borderId="57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169" fontId="0" fillId="0" borderId="0" xfId="1" applyNumberFormat="1" applyFont="1" applyAlignment="1">
      <alignment vertical="top"/>
    </xf>
    <xf numFmtId="0" fontId="23" fillId="0" borderId="5" xfId="0" applyFont="1" applyBorder="1" applyAlignment="1">
      <alignment horizontal="left" vertical="center"/>
    </xf>
    <xf numFmtId="165" fontId="23" fillId="0" borderId="5" xfId="0" applyNumberFormat="1" applyFont="1" applyBorder="1" applyAlignment="1">
      <alignment horizontal="left" vertical="center"/>
    </xf>
    <xf numFmtId="164" fontId="23" fillId="0" borderId="5" xfId="0" applyNumberFormat="1" applyFont="1" applyBorder="1" applyAlignment="1">
      <alignment horizontal="left" vertical="center"/>
    </xf>
    <xf numFmtId="164" fontId="23" fillId="0" borderId="18" xfId="0" applyNumberFormat="1" applyFont="1" applyBorder="1">
      <alignment vertical="center"/>
    </xf>
    <xf numFmtId="0" fontId="23" fillId="0" borderId="18" xfId="0" applyFont="1" applyBorder="1">
      <alignment vertical="center"/>
    </xf>
    <xf numFmtId="164" fontId="23" fillId="0" borderId="16" xfId="0" applyNumberFormat="1" applyFont="1" applyBorder="1">
      <alignment vertical="center"/>
    </xf>
    <xf numFmtId="0" fontId="23" fillId="0" borderId="16" xfId="0" applyFont="1" applyBorder="1">
      <alignment vertical="center"/>
    </xf>
    <xf numFmtId="164" fontId="23" fillId="0" borderId="12" xfId="0" applyNumberFormat="1" applyFont="1" applyBorder="1">
      <alignment vertical="center"/>
    </xf>
    <xf numFmtId="0" fontId="23" fillId="0" borderId="12" xfId="0" applyFont="1" applyBorder="1">
      <alignment vertical="center"/>
    </xf>
    <xf numFmtId="0" fontId="24" fillId="0" borderId="0" xfId="0" applyFont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6" fontId="10" fillId="0" borderId="54" xfId="0" applyNumberFormat="1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165" fontId="23" fillId="0" borderId="7" xfId="0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/>
    </xf>
    <xf numFmtId="164" fontId="24" fillId="0" borderId="0" xfId="0" applyNumberFormat="1" applyFont="1" applyAlignment="1">
      <alignment horizontal="left" vertical="center"/>
    </xf>
    <xf numFmtId="0" fontId="24" fillId="0" borderId="58" xfId="0" applyFont="1" applyBorder="1" applyAlignment="1">
      <alignment horizontal="left" vertical="center"/>
    </xf>
    <xf numFmtId="0" fontId="24" fillId="0" borderId="59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5" fontId="23" fillId="0" borderId="13" xfId="0" applyNumberFormat="1" applyFont="1" applyBorder="1" applyAlignment="1">
      <alignment horizontal="left" vertical="center"/>
    </xf>
    <xf numFmtId="165" fontId="23" fillId="0" borderId="12" xfId="0" applyNumberFormat="1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164" fontId="23" fillId="0" borderId="12" xfId="0" applyNumberFormat="1" applyFont="1" applyBorder="1" applyAlignment="1">
      <alignment horizontal="left" vertical="center"/>
    </xf>
    <xf numFmtId="49" fontId="14" fillId="3" borderId="22" xfId="0" applyNumberFormat="1" applyFont="1" applyFill="1" applyBorder="1" applyAlignment="1">
      <alignment horizontal="left" vertical="center" wrapText="1"/>
    </xf>
    <xf numFmtId="49" fontId="14" fillId="3" borderId="15" xfId="0" applyNumberFormat="1" applyFont="1" applyFill="1" applyBorder="1" applyAlignment="1">
      <alignment horizontal="left" vertical="center" wrapText="1"/>
    </xf>
    <xf numFmtId="164" fontId="14" fillId="3" borderId="15" xfId="0" applyNumberFormat="1" applyFont="1" applyFill="1" applyBorder="1" applyAlignment="1">
      <alignment horizontal="left" vertical="center" wrapText="1"/>
    </xf>
    <xf numFmtId="49" fontId="14" fillId="3" borderId="23" xfId="0" applyNumberFormat="1" applyFont="1" applyFill="1" applyBorder="1" applyAlignment="1">
      <alignment horizontal="left" vertical="center" wrapText="1"/>
    </xf>
    <xf numFmtId="164" fontId="20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3" borderId="56" xfId="0" applyNumberFormat="1" applyFill="1" applyBorder="1" applyAlignment="1">
      <alignment horizontal="center" vertical="top"/>
    </xf>
    <xf numFmtId="6" fontId="0" fillId="3" borderId="0" xfId="0" applyNumberFormat="1" applyFill="1" applyAlignment="1">
      <alignment horizontal="center" vertical="top"/>
    </xf>
    <xf numFmtId="6" fontId="0" fillId="3" borderId="57" xfId="0" applyNumberForma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57" xfId="0" applyFill="1" applyBorder="1" applyAlignment="1">
      <alignment horizontal="center" vertical="top"/>
    </xf>
    <xf numFmtId="0" fontId="0" fillId="3" borderId="56" xfId="0" applyFill="1" applyBorder="1" applyAlignment="1">
      <alignment horizontal="center" vertical="top"/>
    </xf>
    <xf numFmtId="0" fontId="0" fillId="3" borderId="0" xfId="0" applyFill="1" applyAlignment="1">
      <alignment horizontal="center" vertical="top" wrapText="1"/>
    </xf>
    <xf numFmtId="0" fontId="0" fillId="3" borderId="57" xfId="0" applyFill="1" applyBorder="1" applyAlignment="1">
      <alignment horizontal="center" vertical="top" wrapText="1"/>
    </xf>
    <xf numFmtId="6" fontId="0" fillId="0" borderId="68" xfId="0" applyNumberFormat="1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6" fontId="0" fillId="0" borderId="68" xfId="0" applyNumberFormat="1" applyBorder="1" applyAlignment="1">
      <alignment horizontal="center" vertical="top"/>
    </xf>
    <xf numFmtId="0" fontId="0" fillId="0" borderId="71" xfId="0" applyBorder="1" applyAlignment="1">
      <alignment horizontal="center" vertical="top"/>
    </xf>
    <xf numFmtId="6" fontId="0" fillId="0" borderId="68" xfId="1" applyNumberFormat="1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0" fontId="20" fillId="11" borderId="28" xfId="0" applyFont="1" applyFill="1" applyBorder="1" applyAlignment="1">
      <alignment horizontal="left" vertical="center"/>
    </xf>
    <xf numFmtId="0" fontId="20" fillId="11" borderId="21" xfId="0" applyFont="1" applyFill="1" applyBorder="1" applyAlignment="1">
      <alignment horizontal="left" vertical="center"/>
    </xf>
    <xf numFmtId="0" fontId="20" fillId="11" borderId="27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169" fontId="20" fillId="0" borderId="37" xfId="1" applyNumberFormat="1" applyFont="1" applyBorder="1" applyAlignment="1">
      <alignment horizontal="left" vertical="center"/>
    </xf>
    <xf numFmtId="0" fontId="10" fillId="0" borderId="0" xfId="0" applyFont="1" applyAlignment="1">
      <alignment vertical="top"/>
    </xf>
    <xf numFmtId="166" fontId="10" fillId="0" borderId="0" xfId="0" applyNumberFormat="1" applyFont="1" applyAlignment="1">
      <alignment vertical="top"/>
    </xf>
    <xf numFmtId="165" fontId="10" fillId="0" borderId="5" xfId="0" applyNumberFormat="1" applyFont="1" applyBorder="1" applyAlignment="1">
      <alignment horizontal="center" vertical="top"/>
    </xf>
    <xf numFmtId="166" fontId="10" fillId="0" borderId="5" xfId="0" applyNumberFormat="1" applyFont="1" applyBorder="1" applyAlignment="1">
      <alignment horizontal="center" vertical="top"/>
    </xf>
    <xf numFmtId="164" fontId="10" fillId="0" borderId="5" xfId="0" applyNumberFormat="1" applyFont="1" applyBorder="1" applyAlignment="1">
      <alignment horizontal="center" vertical="top"/>
    </xf>
    <xf numFmtId="165" fontId="10" fillId="0" borderId="0" xfId="0" applyNumberFormat="1" applyFont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165" fontId="10" fillId="0" borderId="7" xfId="0" applyNumberFormat="1" applyFont="1" applyBorder="1" applyAlignment="1">
      <alignment horizontal="center" vertical="top"/>
    </xf>
    <xf numFmtId="165" fontId="10" fillId="0" borderId="8" xfId="0" applyNumberFormat="1" applyFont="1" applyBorder="1" applyAlignment="1">
      <alignment horizontal="center" vertical="top"/>
    </xf>
    <xf numFmtId="165" fontId="10" fillId="0" borderId="9" xfId="0" applyNumberFormat="1" applyFont="1" applyBorder="1" applyAlignment="1">
      <alignment horizontal="center" vertical="top"/>
    </xf>
    <xf numFmtId="165" fontId="10" fillId="0" borderId="10" xfId="0" applyNumberFormat="1" applyFont="1" applyBorder="1" applyAlignment="1">
      <alignment horizontal="center" vertical="top"/>
    </xf>
    <xf numFmtId="166" fontId="10" fillId="0" borderId="10" xfId="0" applyNumberFormat="1" applyFont="1" applyBorder="1" applyAlignment="1">
      <alignment horizontal="center" vertical="top"/>
    </xf>
    <xf numFmtId="164" fontId="10" fillId="0" borderId="10" xfId="0" applyNumberFormat="1" applyFont="1" applyBorder="1" applyAlignment="1">
      <alignment horizontal="center" vertical="top"/>
    </xf>
    <xf numFmtId="165" fontId="10" fillId="0" borderId="11" xfId="0" applyNumberFormat="1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164" fontId="14" fillId="2" borderId="73" xfId="0" applyNumberFormat="1" applyFont="1" applyFill="1" applyBorder="1" applyAlignment="1">
      <alignment horizontal="center" vertical="top" wrapText="1"/>
    </xf>
    <xf numFmtId="164" fontId="14" fillId="2" borderId="74" xfId="0" applyNumberFormat="1" applyFont="1" applyFill="1" applyBorder="1" applyAlignment="1">
      <alignment horizontal="center" vertical="top" wrapText="1"/>
    </xf>
    <xf numFmtId="166" fontId="14" fillId="2" borderId="74" xfId="0" applyNumberFormat="1" applyFont="1" applyFill="1" applyBorder="1" applyAlignment="1">
      <alignment horizontal="center" vertical="top" wrapText="1"/>
    </xf>
    <xf numFmtId="166" fontId="14" fillId="2" borderId="75" xfId="0" applyNumberFormat="1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166" fontId="10" fillId="0" borderId="3" xfId="0" applyNumberFormat="1" applyFont="1" applyBorder="1" applyAlignment="1">
      <alignment horizontal="center" vertical="top"/>
    </xf>
    <xf numFmtId="6" fontId="10" fillId="0" borderId="3" xfId="0" applyNumberFormat="1" applyFont="1" applyBorder="1" applyAlignment="1">
      <alignment horizontal="center" vertical="top"/>
    </xf>
    <xf numFmtId="166" fontId="10" fillId="0" borderId="4" xfId="0" applyNumberFormat="1" applyFont="1" applyBorder="1" applyAlignment="1">
      <alignment horizontal="center" vertical="top"/>
    </xf>
    <xf numFmtId="164" fontId="10" fillId="0" borderId="18" xfId="0" applyNumberFormat="1" applyFont="1" applyBorder="1" applyAlignment="1">
      <alignment horizontal="center" vertical="top"/>
    </xf>
    <xf numFmtId="164" fontId="10" fillId="0" borderId="16" xfId="0" applyNumberFormat="1" applyFont="1" applyBorder="1" applyAlignment="1">
      <alignment horizontal="center" vertical="top"/>
    </xf>
    <xf numFmtId="164" fontId="10" fillId="0" borderId="12" xfId="0" applyNumberFormat="1" applyFont="1" applyBorder="1" applyAlignment="1">
      <alignment horizontal="center" vertical="top"/>
    </xf>
    <xf numFmtId="164" fontId="10" fillId="0" borderId="18" xfId="0" applyNumberFormat="1" applyFont="1" applyBorder="1" applyAlignment="1">
      <alignment vertical="top"/>
    </xf>
    <xf numFmtId="164" fontId="10" fillId="0" borderId="16" xfId="0" applyNumberFormat="1" applyFont="1" applyBorder="1" applyAlignment="1">
      <alignment vertical="top"/>
    </xf>
    <xf numFmtId="164" fontId="10" fillId="0" borderId="12" xfId="0" applyNumberFormat="1" applyFont="1" applyBorder="1" applyAlignment="1">
      <alignment vertical="top"/>
    </xf>
    <xf numFmtId="166" fontId="10" fillId="0" borderId="18" xfId="0" applyNumberFormat="1" applyFont="1" applyBorder="1" applyAlignment="1">
      <alignment vertical="top"/>
    </xf>
    <xf numFmtId="166" fontId="10" fillId="0" borderId="16" xfId="0" applyNumberFormat="1" applyFont="1" applyBorder="1" applyAlignment="1">
      <alignment vertical="top"/>
    </xf>
    <xf numFmtId="166" fontId="10" fillId="0" borderId="12" xfId="0" applyNumberFormat="1" applyFont="1" applyBorder="1" applyAlignment="1">
      <alignment vertical="top"/>
    </xf>
    <xf numFmtId="168" fontId="10" fillId="0" borderId="0" xfId="0" applyNumberFormat="1" applyFont="1" applyAlignment="1">
      <alignment horizontal="center" vertical="top"/>
    </xf>
    <xf numFmtId="166" fontId="20" fillId="0" borderId="36" xfId="0" applyNumberFormat="1" applyFont="1" applyBorder="1" applyAlignment="1">
      <alignment horizontal="center" vertical="center"/>
    </xf>
    <xf numFmtId="0" fontId="20" fillId="0" borderId="78" xfId="0" applyFont="1" applyBorder="1" applyAlignment="1">
      <alignment horizontal="left" vertical="center"/>
    </xf>
    <xf numFmtId="164" fontId="20" fillId="0" borderId="16" xfId="0" applyNumberFormat="1" applyFont="1" applyBorder="1" applyAlignment="1">
      <alignment horizontal="center" vertical="center"/>
    </xf>
    <xf numFmtId="9" fontId="20" fillId="0" borderId="79" xfId="1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6" fontId="0" fillId="0" borderId="83" xfId="0" applyNumberFormat="1" applyBorder="1" applyAlignment="1">
      <alignment horizontal="center" vertical="top"/>
    </xf>
    <xf numFmtId="0" fontId="0" fillId="0" borderId="84" xfId="0" applyBorder="1" applyAlignment="1">
      <alignment horizontal="center" vertical="top" wrapText="1"/>
    </xf>
    <xf numFmtId="6" fontId="0" fillId="9" borderId="69" xfId="0" applyNumberFormat="1" applyFill="1" applyBorder="1" applyAlignment="1">
      <alignment horizontal="center" vertical="top"/>
    </xf>
    <xf numFmtId="0" fontId="0" fillId="9" borderId="72" xfId="0" applyFill="1" applyBorder="1" applyAlignment="1">
      <alignment horizontal="center" vertical="top" wrapText="1"/>
    </xf>
    <xf numFmtId="9" fontId="0" fillId="9" borderId="60" xfId="1" applyFont="1" applyFill="1" applyBorder="1" applyAlignment="1">
      <alignment horizontal="center" vertical="top" wrapText="1"/>
    </xf>
    <xf numFmtId="6" fontId="0" fillId="9" borderId="69" xfId="0" applyNumberFormat="1" applyFill="1" applyBorder="1" applyAlignment="1">
      <alignment horizontal="center" vertical="top" wrapText="1"/>
    </xf>
    <xf numFmtId="0" fontId="0" fillId="9" borderId="72" xfId="0" applyFill="1" applyBorder="1" applyAlignment="1">
      <alignment horizontal="center" vertical="top"/>
    </xf>
    <xf numFmtId="9" fontId="0" fillId="9" borderId="60" xfId="1" applyFont="1" applyFill="1" applyBorder="1" applyAlignment="1">
      <alignment horizontal="center" vertical="top"/>
    </xf>
    <xf numFmtId="6" fontId="0" fillId="9" borderId="69" xfId="1" applyNumberFormat="1" applyFont="1" applyFill="1" applyBorder="1" applyAlignment="1">
      <alignment horizontal="center" vertical="top"/>
    </xf>
    <xf numFmtId="0" fontId="0" fillId="0" borderId="71" xfId="0" applyBorder="1" applyAlignment="1">
      <alignment vertical="top"/>
    </xf>
    <xf numFmtId="0" fontId="0" fillId="9" borderId="72" xfId="0" applyFill="1" applyBorder="1" applyAlignment="1">
      <alignment vertical="top"/>
    </xf>
    <xf numFmtId="0" fontId="29" fillId="8" borderId="2" xfId="0" applyFont="1" applyFill="1" applyBorder="1" applyAlignment="1">
      <alignment vertical="top"/>
    </xf>
    <xf numFmtId="0" fontId="20" fillId="0" borderId="0" xfId="0" applyFont="1" applyAlignment="1">
      <alignment vertical="top"/>
    </xf>
    <xf numFmtId="0" fontId="20" fillId="13" borderId="1" xfId="0" applyFont="1" applyFill="1" applyBorder="1" applyAlignment="1">
      <alignment horizontal="left" vertical="center"/>
    </xf>
    <xf numFmtId="0" fontId="20" fillId="14" borderId="28" xfId="0" applyFont="1" applyFill="1" applyBorder="1" applyAlignment="1">
      <alignment horizontal="left" vertical="center"/>
    </xf>
    <xf numFmtId="0" fontId="20" fillId="14" borderId="21" xfId="0" applyFont="1" applyFill="1" applyBorder="1" applyAlignment="1">
      <alignment horizontal="left" vertical="center"/>
    </xf>
    <xf numFmtId="0" fontId="20" fillId="14" borderId="27" xfId="0" applyFont="1" applyFill="1" applyBorder="1" applyAlignment="1">
      <alignment horizontal="left" vertical="center"/>
    </xf>
    <xf numFmtId="169" fontId="20" fillId="0" borderId="34" xfId="1" applyNumberFormat="1" applyFont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12" fillId="0" borderId="5" xfId="0" applyNumberFormat="1" applyFont="1" applyBorder="1" applyAlignment="1">
      <alignment horizontal="left" vertical="center"/>
    </xf>
    <xf numFmtId="165" fontId="12" fillId="0" borderId="5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165" fontId="12" fillId="0" borderId="10" xfId="0" applyNumberFormat="1" applyFont="1" applyBorder="1" applyAlignment="1">
      <alignment horizontal="left" vertical="center"/>
    </xf>
    <xf numFmtId="166" fontId="12" fillId="0" borderId="10" xfId="0" applyNumberFormat="1" applyFont="1" applyBorder="1" applyAlignment="1">
      <alignment horizontal="left" vertical="center"/>
    </xf>
    <xf numFmtId="164" fontId="12" fillId="0" borderId="10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0" fontId="20" fillId="0" borderId="53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20" fillId="0" borderId="55" xfId="0" applyFont="1" applyBorder="1" applyAlignment="1">
      <alignment horizontal="left" vertical="center"/>
    </xf>
    <xf numFmtId="0" fontId="12" fillId="0" borderId="88" xfId="0" applyFont="1" applyBorder="1" applyAlignment="1">
      <alignment horizontal="left" vertical="center"/>
    </xf>
    <xf numFmtId="164" fontId="12" fillId="0" borderId="88" xfId="0" applyNumberFormat="1" applyFont="1" applyBorder="1" applyAlignment="1">
      <alignment horizontal="left" vertical="center"/>
    </xf>
    <xf numFmtId="165" fontId="12" fillId="0" borderId="13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6" fontId="12" fillId="0" borderId="12" xfId="0" applyNumberFormat="1" applyFont="1" applyBorder="1" applyAlignment="1">
      <alignment horizontal="left" vertical="center"/>
    </xf>
    <xf numFmtId="164" fontId="12" fillId="0" borderId="12" xfId="0" applyNumberFormat="1" applyFont="1" applyBorder="1" applyAlignment="1">
      <alignment horizontal="left" vertical="center"/>
    </xf>
    <xf numFmtId="165" fontId="12" fillId="0" borderId="14" xfId="0" applyNumberFormat="1" applyFont="1" applyBorder="1" applyAlignment="1">
      <alignment horizontal="left" vertical="center"/>
    </xf>
    <xf numFmtId="164" fontId="13" fillId="2" borderId="22" xfId="0" applyNumberFormat="1" applyFont="1" applyFill="1" applyBorder="1" applyAlignment="1">
      <alignment horizontal="left" vertical="top" wrapText="1"/>
    </xf>
    <xf numFmtId="164" fontId="13" fillId="2" borderId="15" xfId="0" applyNumberFormat="1" applyFont="1" applyFill="1" applyBorder="1" applyAlignment="1">
      <alignment horizontal="left" vertical="top" wrapText="1"/>
    </xf>
    <xf numFmtId="164" fontId="13" fillId="2" borderId="23" xfId="0" applyNumberFormat="1" applyFont="1" applyFill="1" applyBorder="1" applyAlignment="1">
      <alignment horizontal="left" vertical="top" wrapText="1"/>
    </xf>
    <xf numFmtId="169" fontId="20" fillId="0" borderId="89" xfId="1" applyNumberFormat="1" applyFont="1" applyBorder="1" applyAlignment="1">
      <alignment horizontal="center" vertical="center"/>
    </xf>
    <xf numFmtId="6" fontId="0" fillId="0" borderId="68" xfId="0" applyNumberFormat="1" applyBorder="1" applyAlignment="1">
      <alignment vertical="top"/>
    </xf>
    <xf numFmtId="6" fontId="0" fillId="9" borderId="69" xfId="0" applyNumberFormat="1" applyFill="1" applyBorder="1" applyAlignment="1">
      <alignment vertical="top"/>
    </xf>
    <xf numFmtId="9" fontId="0" fillId="0" borderId="86" xfId="1" applyFont="1" applyBorder="1" applyAlignment="1">
      <alignment vertical="top"/>
    </xf>
    <xf numFmtId="9" fontId="0" fillId="9" borderId="87" xfId="1" applyFont="1" applyFill="1" applyBorder="1" applyAlignment="1">
      <alignment vertical="top"/>
    </xf>
    <xf numFmtId="0" fontId="31" fillId="8" borderId="67" xfId="0" applyFont="1" applyFill="1" applyBorder="1" applyAlignment="1">
      <alignment horizontal="center" vertical="top" wrapText="1"/>
    </xf>
    <xf numFmtId="0" fontId="31" fillId="8" borderId="70" xfId="0" applyFont="1" applyFill="1" applyBorder="1" applyAlignment="1">
      <alignment horizontal="center" vertical="top" wrapText="1"/>
    </xf>
    <xf numFmtId="9" fontId="31" fillId="8" borderId="66" xfId="1" applyFont="1" applyFill="1" applyBorder="1" applyAlignment="1">
      <alignment horizontal="center" vertical="top" wrapText="1"/>
    </xf>
    <xf numFmtId="6" fontId="31" fillId="8" borderId="67" xfId="0" applyNumberFormat="1" applyFont="1" applyFill="1" applyBorder="1" applyAlignment="1">
      <alignment horizontal="center" vertical="top" wrapText="1"/>
    </xf>
    <xf numFmtId="0" fontId="31" fillId="8" borderId="67" xfId="0" applyFont="1" applyFill="1" applyBorder="1" applyAlignment="1">
      <alignment horizontal="center" vertical="top"/>
    </xf>
    <xf numFmtId="0" fontId="31" fillId="8" borderId="80" xfId="0" applyFont="1" applyFill="1" applyBorder="1" applyAlignment="1">
      <alignment horizontal="center" vertical="top"/>
    </xf>
    <xf numFmtId="0" fontId="31" fillId="8" borderId="81" xfId="0" applyFont="1" applyFill="1" applyBorder="1" applyAlignment="1">
      <alignment horizontal="center" vertical="top" wrapText="1"/>
    </xf>
    <xf numFmtId="9" fontId="31" fillId="8" borderId="82" xfId="1" applyFont="1" applyFill="1" applyBorder="1" applyAlignment="1">
      <alignment horizontal="center" vertical="top" wrapText="1"/>
    </xf>
    <xf numFmtId="6" fontId="31" fillId="9" borderId="67" xfId="0" applyNumberFormat="1" applyFont="1" applyFill="1" applyBorder="1" applyAlignment="1">
      <alignment horizontal="center" vertical="top"/>
    </xf>
    <xf numFmtId="0" fontId="31" fillId="9" borderId="70" xfId="0" applyFont="1" applyFill="1" applyBorder="1" applyAlignment="1">
      <alignment horizontal="center" vertical="top" wrapText="1"/>
    </xf>
    <xf numFmtId="9" fontId="31" fillId="9" borderId="66" xfId="1" applyFont="1" applyFill="1" applyBorder="1" applyAlignment="1">
      <alignment horizontal="center" vertical="top" wrapText="1"/>
    </xf>
    <xf numFmtId="0" fontId="31" fillId="9" borderId="67" xfId="0" applyFont="1" applyFill="1" applyBorder="1" applyAlignment="1">
      <alignment vertical="top"/>
    </xf>
    <xf numFmtId="0" fontId="31" fillId="9" borderId="70" xfId="0" applyFont="1" applyFill="1" applyBorder="1" applyAlignment="1">
      <alignment vertical="top" wrapText="1"/>
    </xf>
    <xf numFmtId="0" fontId="31" fillId="9" borderId="85" xfId="0" applyFont="1" applyFill="1" applyBorder="1" applyAlignment="1">
      <alignment vertical="top" wrapText="1"/>
    </xf>
    <xf numFmtId="0" fontId="30" fillId="8" borderId="56" xfId="0" applyFont="1" applyFill="1" applyBorder="1" applyAlignment="1">
      <alignment vertical="top"/>
    </xf>
    <xf numFmtId="0" fontId="22" fillId="9" borderId="63" xfId="0" applyFont="1" applyFill="1" applyBorder="1" applyAlignment="1">
      <alignment vertical="top"/>
    </xf>
    <xf numFmtId="169" fontId="30" fillId="8" borderId="56" xfId="1" applyNumberFormat="1" applyFont="1" applyFill="1" applyBorder="1" applyAlignment="1">
      <alignment vertical="top"/>
    </xf>
    <xf numFmtId="169" fontId="22" fillId="9" borderId="63" xfId="1" applyNumberFormat="1" applyFont="1" applyFill="1" applyBorder="1" applyAlignment="1">
      <alignment vertical="top"/>
    </xf>
    <xf numFmtId="0" fontId="22" fillId="9" borderId="63" xfId="0" applyFont="1" applyFill="1" applyBorder="1" applyAlignment="1">
      <alignment horizontal="left" vertical="top"/>
    </xf>
    <xf numFmtId="0" fontId="30" fillId="8" borderId="58" xfId="0" applyFont="1" applyFill="1" applyBorder="1" applyAlignment="1">
      <alignment vertical="top"/>
    </xf>
    <xf numFmtId="0" fontId="22" fillId="9" borderId="64" xfId="0" applyFont="1" applyFill="1" applyBorder="1" applyAlignment="1">
      <alignment vertical="top"/>
    </xf>
    <xf numFmtId="0" fontId="22" fillId="3" borderId="56" xfId="0" applyFont="1" applyFill="1" applyBorder="1" applyAlignment="1">
      <alignment vertical="top"/>
    </xf>
    <xf numFmtId="0" fontId="22" fillId="3" borderId="57" xfId="0" applyFont="1" applyFill="1" applyBorder="1" applyAlignment="1">
      <alignment vertical="top"/>
    </xf>
    <xf numFmtId="0" fontId="31" fillId="8" borderId="61" xfId="0" applyFont="1" applyFill="1" applyBorder="1" applyAlignment="1">
      <alignment vertical="top"/>
    </xf>
    <xf numFmtId="0" fontId="30" fillId="8" borderId="61" xfId="0" applyFont="1" applyFill="1" applyBorder="1" applyAlignment="1">
      <alignment vertical="top"/>
    </xf>
    <xf numFmtId="6" fontId="31" fillId="3" borderId="61" xfId="0" applyNumberFormat="1" applyFont="1" applyFill="1" applyBorder="1" applyAlignment="1">
      <alignment vertical="top"/>
    </xf>
    <xf numFmtId="0" fontId="26" fillId="0" borderId="62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166" fontId="26" fillId="0" borderId="63" xfId="1" applyNumberFormat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6" fontId="30" fillId="9" borderId="63" xfId="0" applyNumberFormat="1" applyFont="1" applyFill="1" applyBorder="1" applyAlignment="1">
      <alignment vertical="top"/>
    </xf>
    <xf numFmtId="166" fontId="30" fillId="9" borderId="63" xfId="0" applyNumberFormat="1" applyFont="1" applyFill="1" applyBorder="1" applyAlignment="1">
      <alignment vertical="top"/>
    </xf>
    <xf numFmtId="9" fontId="30" fillId="9" borderId="63" xfId="1" applyFont="1" applyFill="1" applyBorder="1" applyAlignment="1">
      <alignment vertical="top"/>
    </xf>
    <xf numFmtId="6" fontId="30" fillId="9" borderId="63" xfId="1" applyNumberFormat="1" applyFont="1" applyFill="1" applyBorder="1" applyAlignment="1">
      <alignment vertical="top"/>
    </xf>
    <xf numFmtId="167" fontId="30" fillId="9" borderId="63" xfId="1" applyNumberFormat="1" applyFont="1" applyFill="1" applyBorder="1" applyAlignment="1">
      <alignment vertical="top"/>
    </xf>
    <xf numFmtId="0" fontId="33" fillId="8" borderId="56" xfId="0" applyFont="1" applyFill="1" applyBorder="1" applyAlignment="1">
      <alignment vertical="top"/>
    </xf>
    <xf numFmtId="0" fontId="34" fillId="9" borderId="63" xfId="0" applyFont="1" applyFill="1" applyBorder="1" applyAlignment="1">
      <alignment vertical="top"/>
    </xf>
    <xf numFmtId="6" fontId="33" fillId="9" borderId="63" xfId="0" applyNumberFormat="1" applyFont="1" applyFill="1" applyBorder="1" applyAlignment="1">
      <alignment vertical="top"/>
    </xf>
    <xf numFmtId="9" fontId="0" fillId="0" borderId="57" xfId="1" applyFont="1" applyBorder="1" applyAlignment="1">
      <alignment vertical="top"/>
    </xf>
    <xf numFmtId="9" fontId="0" fillId="9" borderId="60" xfId="1" applyFont="1" applyFill="1" applyBorder="1" applyAlignment="1">
      <alignment vertical="top"/>
    </xf>
    <xf numFmtId="0" fontId="31" fillId="9" borderId="90" xfId="0" applyFont="1" applyFill="1" applyBorder="1" applyAlignment="1">
      <alignment vertical="top" wrapText="1"/>
    </xf>
    <xf numFmtId="0" fontId="0" fillId="3" borderId="54" xfId="0" applyFill="1" applyBorder="1" applyAlignment="1">
      <alignment vertical="top"/>
    </xf>
    <xf numFmtId="0" fontId="31" fillId="9" borderId="67" xfId="0" applyFont="1" applyFill="1" applyBorder="1" applyAlignment="1">
      <alignment vertical="top" wrapText="1"/>
    </xf>
    <xf numFmtId="9" fontId="0" fillId="0" borderId="45" xfId="1" applyFont="1" applyBorder="1" applyAlignment="1">
      <alignment vertical="top"/>
    </xf>
    <xf numFmtId="9" fontId="0" fillId="9" borderId="91" xfId="1" applyFont="1" applyFill="1" applyBorder="1" applyAlignment="1">
      <alignment vertical="top"/>
    </xf>
    <xf numFmtId="9" fontId="0" fillId="0" borderId="83" xfId="1" applyFont="1" applyBorder="1" applyAlignment="1">
      <alignment vertical="top"/>
    </xf>
    <xf numFmtId="9" fontId="0" fillId="0" borderId="68" xfId="1" applyFont="1" applyBorder="1" applyAlignment="1">
      <alignment vertical="top"/>
    </xf>
    <xf numFmtId="9" fontId="0" fillId="9" borderId="69" xfId="1" applyFont="1" applyFill="1" applyBorder="1" applyAlignment="1">
      <alignment vertical="top"/>
    </xf>
    <xf numFmtId="9" fontId="0" fillId="0" borderId="84" xfId="1" applyFont="1" applyBorder="1" applyAlignment="1">
      <alignment vertical="top"/>
    </xf>
    <xf numFmtId="9" fontId="0" fillId="0" borderId="71" xfId="1" applyFont="1" applyBorder="1" applyAlignment="1">
      <alignment vertical="top"/>
    </xf>
    <xf numFmtId="9" fontId="0" fillId="9" borderId="72" xfId="1" applyFont="1" applyFill="1" applyBorder="1" applyAlignment="1">
      <alignment vertical="top"/>
    </xf>
    <xf numFmtId="0" fontId="31" fillId="9" borderId="92" xfId="0" applyFont="1" applyFill="1" applyBorder="1" applyAlignment="1">
      <alignment vertical="top" wrapText="1"/>
    </xf>
    <xf numFmtId="9" fontId="0" fillId="0" borderId="89" xfId="1" applyFont="1" applyBorder="1" applyAlignment="1">
      <alignment vertical="top"/>
    </xf>
    <xf numFmtId="9" fontId="0" fillId="9" borderId="93" xfId="1" applyFont="1" applyFill="1" applyBorder="1" applyAlignment="1">
      <alignment vertical="top"/>
    </xf>
    <xf numFmtId="0" fontId="0" fillId="3" borderId="53" xfId="0" applyFill="1" applyBorder="1" applyAlignment="1">
      <alignment vertical="top"/>
    </xf>
    <xf numFmtId="0" fontId="0" fillId="3" borderId="55" xfId="0" applyFill="1" applyBorder="1" applyAlignment="1">
      <alignment vertical="top"/>
    </xf>
    <xf numFmtId="9" fontId="0" fillId="0" borderId="94" xfId="1" applyFont="1" applyBorder="1" applyAlignment="1">
      <alignment vertical="top"/>
    </xf>
    <xf numFmtId="0" fontId="31" fillId="9" borderId="66" xfId="0" applyFont="1" applyFill="1" applyBorder="1" applyAlignment="1">
      <alignment vertical="top" wrapText="1"/>
    </xf>
    <xf numFmtId="14" fontId="30" fillId="0" borderId="0" xfId="0" applyNumberFormat="1" applyFont="1" applyAlignment="1">
      <alignment horizontal="center" vertical="center"/>
    </xf>
    <xf numFmtId="6" fontId="36" fillId="0" borderId="0" xfId="0" applyNumberFormat="1" applyFont="1" applyAlignment="1">
      <alignment horizontal="center" vertical="center"/>
    </xf>
    <xf numFmtId="14" fontId="24" fillId="0" borderId="7" xfId="0" applyNumberFormat="1" applyFont="1" applyBorder="1" applyAlignment="1">
      <alignment horizontal="left" vertical="center"/>
    </xf>
    <xf numFmtId="14" fontId="24" fillId="0" borderId="5" xfId="0" applyNumberFormat="1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164" fontId="24" fillId="0" borderId="5" xfId="0" applyNumberFormat="1" applyFont="1" applyBorder="1" applyAlignment="1">
      <alignment horizontal="left" vertical="center"/>
    </xf>
    <xf numFmtId="49" fontId="24" fillId="0" borderId="8" xfId="0" applyNumberFormat="1" applyFont="1" applyBorder="1" applyAlignment="1">
      <alignment horizontal="left" vertical="top"/>
    </xf>
    <xf numFmtId="0" fontId="26" fillId="0" borderId="0" xfId="0" applyFont="1">
      <alignment vertical="center"/>
    </xf>
    <xf numFmtId="164" fontId="26" fillId="0" borderId="0" xfId="0" applyNumberFormat="1" applyFont="1">
      <alignment vertical="center"/>
    </xf>
    <xf numFmtId="166" fontId="12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171" fontId="12" fillId="0" borderId="5" xfId="0" applyNumberFormat="1" applyFont="1" applyBorder="1" applyAlignment="1">
      <alignment horizontal="center" vertical="center"/>
    </xf>
    <xf numFmtId="171" fontId="12" fillId="16" borderId="5" xfId="0" applyNumberFormat="1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/>
    </xf>
    <xf numFmtId="0" fontId="20" fillId="18" borderId="27" xfId="0" applyFont="1" applyFill="1" applyBorder="1" applyAlignment="1">
      <alignment horizontal="left" vertical="center"/>
    </xf>
    <xf numFmtId="0" fontId="20" fillId="18" borderId="21" xfId="0" applyFont="1" applyFill="1" applyBorder="1" applyAlignment="1">
      <alignment horizontal="left" vertical="center"/>
    </xf>
    <xf numFmtId="0" fontId="20" fillId="18" borderId="28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9" fillId="3" borderId="53" xfId="0" applyFont="1" applyFill="1" applyBorder="1" applyAlignment="1">
      <alignment vertical="top"/>
    </xf>
    <xf numFmtId="0" fontId="39" fillId="3" borderId="54" xfId="0" applyFont="1" applyFill="1" applyBorder="1" applyAlignment="1">
      <alignment vertical="top"/>
    </xf>
    <xf numFmtId="0" fontId="39" fillId="3" borderId="55" xfId="0" applyFont="1" applyFill="1" applyBorder="1" applyAlignment="1">
      <alignment vertical="top"/>
    </xf>
    <xf numFmtId="9" fontId="39" fillId="9" borderId="87" xfId="1" applyFont="1" applyFill="1" applyBorder="1" applyAlignment="1">
      <alignment vertical="top"/>
    </xf>
    <xf numFmtId="0" fontId="39" fillId="0" borderId="0" xfId="0" applyFont="1" applyAlignment="1">
      <alignment vertical="top"/>
    </xf>
    <xf numFmtId="6" fontId="39" fillId="0" borderId="83" xfId="1" applyNumberFormat="1" applyFont="1" applyBorder="1" applyAlignment="1">
      <alignment vertical="top"/>
    </xf>
    <xf numFmtId="6" fontId="39" fillId="0" borderId="68" xfId="1" applyNumberFormat="1" applyFont="1" applyBorder="1" applyAlignment="1">
      <alignment vertical="top"/>
    </xf>
    <xf numFmtId="6" fontId="39" fillId="9" borderId="69" xfId="1" applyNumberFormat="1" applyFont="1" applyFill="1" applyBorder="1" applyAlignment="1">
      <alignment vertical="top"/>
    </xf>
    <xf numFmtId="166" fontId="39" fillId="0" borderId="84" xfId="1" applyNumberFormat="1" applyFont="1" applyBorder="1" applyAlignment="1">
      <alignment vertical="top"/>
    </xf>
    <xf numFmtId="166" fontId="39" fillId="0" borderId="71" xfId="1" applyNumberFormat="1" applyFont="1" applyBorder="1" applyAlignment="1">
      <alignment vertical="top"/>
    </xf>
    <xf numFmtId="166" fontId="39" fillId="9" borderId="72" xfId="1" applyNumberFormat="1" applyFont="1" applyFill="1" applyBorder="1" applyAlignment="1">
      <alignment vertical="top"/>
    </xf>
    <xf numFmtId="169" fontId="39" fillId="0" borderId="94" xfId="1" applyNumberFormat="1" applyFont="1" applyBorder="1" applyAlignment="1">
      <alignment vertical="top"/>
    </xf>
    <xf numFmtId="169" fontId="39" fillId="0" borderId="86" xfId="1" applyNumberFormat="1" applyFont="1" applyBorder="1" applyAlignment="1">
      <alignment vertical="top"/>
    </xf>
    <xf numFmtId="166" fontId="29" fillId="0" borderId="56" xfId="0" applyNumberFormat="1" applyFont="1" applyBorder="1" applyAlignment="1">
      <alignment horizontal="center" vertical="top"/>
    </xf>
    <xf numFmtId="166" fontId="29" fillId="0" borderId="0" xfId="0" applyNumberFormat="1" applyFont="1" applyAlignment="1">
      <alignment horizontal="center" vertical="top"/>
    </xf>
    <xf numFmtId="166" fontId="29" fillId="0" borderId="57" xfId="0" applyNumberFormat="1" applyFont="1" applyBorder="1" applyAlignment="1">
      <alignment horizontal="center" vertical="top"/>
    </xf>
    <xf numFmtId="169" fontId="29" fillId="0" borderId="56" xfId="1" applyNumberFormat="1" applyFont="1" applyBorder="1" applyAlignment="1">
      <alignment horizontal="center" vertical="top"/>
    </xf>
    <xf numFmtId="169" fontId="29" fillId="0" borderId="0" xfId="1" applyNumberFormat="1" applyFont="1" applyBorder="1" applyAlignment="1">
      <alignment horizontal="center" vertical="top"/>
    </xf>
    <xf numFmtId="169" fontId="29" fillId="0" borderId="57" xfId="1" applyNumberFormat="1" applyFont="1" applyBorder="1" applyAlignment="1">
      <alignment horizontal="center" vertical="top"/>
    </xf>
    <xf numFmtId="6" fontId="29" fillId="0" borderId="56" xfId="0" applyNumberFormat="1" applyFont="1" applyBorder="1" applyAlignment="1">
      <alignment horizontal="center" vertical="top"/>
    </xf>
    <xf numFmtId="6" fontId="29" fillId="0" borderId="0" xfId="0" applyNumberFormat="1" applyFont="1" applyAlignment="1">
      <alignment horizontal="center" vertical="top"/>
    </xf>
    <xf numFmtId="6" fontId="29" fillId="0" borderId="57" xfId="0" applyNumberFormat="1" applyFont="1" applyBorder="1" applyAlignment="1">
      <alignment horizontal="center" vertical="top"/>
    </xf>
    <xf numFmtId="167" fontId="29" fillId="0" borderId="56" xfId="0" applyNumberFormat="1" applyFont="1" applyBorder="1" applyAlignment="1">
      <alignment horizontal="center" vertical="top"/>
    </xf>
    <xf numFmtId="167" fontId="29" fillId="0" borderId="0" xfId="0" applyNumberFormat="1" applyFont="1" applyAlignment="1">
      <alignment horizontal="center" vertical="top"/>
    </xf>
    <xf numFmtId="167" fontId="29" fillId="0" borderId="57" xfId="0" applyNumberFormat="1" applyFont="1" applyBorder="1" applyAlignment="1">
      <alignment horizontal="center" vertical="top"/>
    </xf>
    <xf numFmtId="6" fontId="31" fillId="9" borderId="55" xfId="0" applyNumberFormat="1" applyFont="1" applyFill="1" applyBorder="1" applyAlignment="1">
      <alignment horizontal="center" vertical="top"/>
    </xf>
    <xf numFmtId="6" fontId="31" fillId="9" borderId="57" xfId="0" applyNumberFormat="1" applyFont="1" applyFill="1" applyBorder="1" applyAlignment="1">
      <alignment horizontal="center" vertical="top"/>
    </xf>
    <xf numFmtId="6" fontId="31" fillId="9" borderId="60" xfId="0" applyNumberFormat="1" applyFont="1" applyFill="1" applyBorder="1" applyAlignment="1">
      <alignment horizontal="center" vertical="top"/>
    </xf>
    <xf numFmtId="167" fontId="29" fillId="0" borderId="58" xfId="0" applyNumberFormat="1" applyFont="1" applyBorder="1" applyAlignment="1">
      <alignment horizontal="center" vertical="top"/>
    </xf>
    <xf numFmtId="167" fontId="29" fillId="0" borderId="59" xfId="0" applyNumberFormat="1" applyFont="1" applyBorder="1" applyAlignment="1">
      <alignment horizontal="center" vertical="top"/>
    </xf>
    <xf numFmtId="167" fontId="29" fillId="0" borderId="60" xfId="0" applyNumberFormat="1" applyFont="1" applyBorder="1" applyAlignment="1">
      <alignment horizontal="center" vertical="top"/>
    </xf>
    <xf numFmtId="0" fontId="0" fillId="3" borderId="54" xfId="0" applyFill="1" applyBorder="1" applyAlignment="1">
      <alignment horizontal="center" vertical="top"/>
    </xf>
    <xf numFmtId="0" fontId="0" fillId="3" borderId="55" xfId="0" applyFill="1" applyBorder="1" applyAlignment="1">
      <alignment horizontal="center" vertical="top"/>
    </xf>
    <xf numFmtId="6" fontId="35" fillId="0" borderId="56" xfId="0" applyNumberFormat="1" applyFont="1" applyBorder="1" applyAlignment="1">
      <alignment horizontal="center" vertical="top"/>
    </xf>
    <xf numFmtId="6" fontId="35" fillId="0" borderId="0" xfId="0" applyNumberFormat="1" applyFont="1" applyAlignment="1">
      <alignment horizontal="center" vertical="top"/>
    </xf>
    <xf numFmtId="6" fontId="35" fillId="0" borderId="57" xfId="0" applyNumberFormat="1" applyFont="1" applyBorder="1" applyAlignment="1">
      <alignment horizontal="center" vertical="top"/>
    </xf>
    <xf numFmtId="0" fontId="0" fillId="3" borderId="53" xfId="0" applyFill="1" applyBorder="1" applyAlignment="1">
      <alignment horizontal="center" vertical="top"/>
    </xf>
    <xf numFmtId="169" fontId="29" fillId="0" borderId="0" xfId="1" applyNumberFormat="1" applyFont="1" applyAlignment="1">
      <alignment horizontal="center" vertical="top"/>
    </xf>
    <xf numFmtId="14" fontId="30" fillId="8" borderId="2" xfId="0" applyNumberFormat="1" applyFont="1" applyFill="1" applyBorder="1" applyAlignment="1">
      <alignment horizontal="center" vertical="top"/>
    </xf>
    <xf numFmtId="14" fontId="30" fillId="8" borderId="3" xfId="0" applyNumberFormat="1" applyFont="1" applyFill="1" applyBorder="1" applyAlignment="1">
      <alignment horizontal="center" vertical="top"/>
    </xf>
    <xf numFmtId="14" fontId="30" fillId="8" borderId="4" xfId="0" applyNumberFormat="1" applyFont="1" applyFill="1" applyBorder="1" applyAlignment="1">
      <alignment horizontal="center" vertical="top"/>
    </xf>
    <xf numFmtId="9" fontId="35" fillId="0" borderId="56" xfId="1" applyFont="1" applyBorder="1" applyAlignment="1">
      <alignment horizontal="center" vertical="top"/>
    </xf>
    <xf numFmtId="9" fontId="35" fillId="0" borderId="0" xfId="1" applyFont="1" applyBorder="1" applyAlignment="1">
      <alignment horizontal="center" vertical="top"/>
    </xf>
    <xf numFmtId="9" fontId="35" fillId="0" borderId="57" xfId="1" applyFont="1" applyBorder="1" applyAlignment="1">
      <alignment horizontal="center" vertical="top"/>
    </xf>
    <xf numFmtId="2" fontId="29" fillId="0" borderId="58" xfId="0" applyNumberFormat="1" applyFont="1" applyBorder="1" applyAlignment="1">
      <alignment horizontal="center" vertical="top"/>
    </xf>
    <xf numFmtId="2" fontId="29" fillId="0" borderId="59" xfId="0" applyNumberFormat="1" applyFont="1" applyBorder="1" applyAlignment="1">
      <alignment horizontal="center" vertical="top"/>
    </xf>
    <xf numFmtId="2" fontId="29" fillId="0" borderId="60" xfId="0" applyNumberFormat="1" applyFont="1" applyBorder="1" applyAlignment="1">
      <alignment horizontal="center" vertical="top"/>
    </xf>
    <xf numFmtId="0" fontId="29" fillId="0" borderId="56" xfId="0" applyFont="1" applyBorder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57" xfId="0" applyFont="1" applyBorder="1" applyAlignment="1">
      <alignment horizontal="center" vertical="top"/>
    </xf>
    <xf numFmtId="0" fontId="29" fillId="0" borderId="0" xfId="0" applyFont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2" fontId="29" fillId="0" borderId="56" xfId="0" applyNumberFormat="1" applyFont="1" applyBorder="1" applyAlignment="1">
      <alignment horizontal="center" vertical="top"/>
    </xf>
    <xf numFmtId="2" fontId="29" fillId="0" borderId="0" xfId="0" applyNumberFormat="1" applyFont="1" applyAlignment="1">
      <alignment horizontal="center" vertical="top"/>
    </xf>
    <xf numFmtId="2" fontId="29" fillId="0" borderId="57" xfId="0" applyNumberFormat="1" applyFont="1" applyBorder="1" applyAlignment="1">
      <alignment horizontal="center" vertical="top"/>
    </xf>
    <xf numFmtId="0" fontId="32" fillId="8" borderId="56" xfId="0" applyFont="1" applyFill="1" applyBorder="1" applyAlignment="1">
      <alignment horizontal="left" vertical="top"/>
    </xf>
    <xf numFmtId="0" fontId="32" fillId="8" borderId="57" xfId="0" applyFont="1" applyFill="1" applyBorder="1" applyAlignment="1">
      <alignment horizontal="left" vertical="top"/>
    </xf>
    <xf numFmtId="0" fontId="32" fillId="8" borderId="58" xfId="0" applyFont="1" applyFill="1" applyBorder="1" applyAlignment="1">
      <alignment horizontal="left" vertical="top"/>
    </xf>
    <xf numFmtId="0" fontId="32" fillId="8" borderId="60" xfId="0" applyFont="1" applyFill="1" applyBorder="1" applyAlignment="1">
      <alignment horizontal="left" vertical="top"/>
    </xf>
    <xf numFmtId="0" fontId="30" fillId="8" borderId="65" xfId="0" applyFont="1" applyFill="1" applyBorder="1" applyAlignment="1">
      <alignment horizontal="left" vertical="top"/>
    </xf>
    <xf numFmtId="0" fontId="30" fillId="8" borderId="66" xfId="0" applyFont="1" applyFill="1" applyBorder="1" applyAlignment="1">
      <alignment horizontal="left" vertical="top"/>
    </xf>
    <xf numFmtId="6" fontId="29" fillId="0" borderId="53" xfId="0" applyNumberFormat="1" applyFont="1" applyBorder="1" applyAlignment="1">
      <alignment horizontal="center" vertical="top"/>
    </xf>
    <xf numFmtId="6" fontId="29" fillId="0" borderId="54" xfId="0" applyNumberFormat="1" applyFont="1" applyBorder="1" applyAlignment="1">
      <alignment horizontal="center" vertical="top"/>
    </xf>
    <xf numFmtId="6" fontId="29" fillId="0" borderId="55" xfId="0" applyNumberFormat="1" applyFont="1" applyBorder="1" applyAlignment="1">
      <alignment horizontal="center" vertical="top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170" fontId="20" fillId="0" borderId="28" xfId="0" applyNumberFormat="1" applyFont="1" applyBorder="1" applyAlignment="1">
      <alignment horizontal="center" vertical="center"/>
    </xf>
    <xf numFmtId="170" fontId="20" fillId="0" borderId="45" xfId="0" applyNumberFormat="1" applyFont="1" applyBorder="1" applyAlignment="1">
      <alignment horizontal="center" vertical="center"/>
    </xf>
    <xf numFmtId="170" fontId="20" fillId="0" borderId="46" xfId="0" applyNumberFormat="1" applyFont="1" applyBorder="1" applyAlignment="1">
      <alignment horizontal="center" vertical="center"/>
    </xf>
    <xf numFmtId="170" fontId="20" fillId="0" borderId="47" xfId="0" applyNumberFormat="1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169" fontId="20" fillId="0" borderId="43" xfId="1" applyNumberFormat="1" applyFont="1" applyBorder="1" applyAlignment="1">
      <alignment horizontal="center" vertical="center"/>
    </xf>
    <xf numFmtId="169" fontId="20" fillId="0" borderId="16" xfId="1" applyNumberFormat="1" applyFont="1" applyBorder="1" applyAlignment="1">
      <alignment horizontal="center" vertical="center"/>
    </xf>
    <xf numFmtId="169" fontId="20" fillId="0" borderId="12" xfId="1" applyNumberFormat="1" applyFont="1" applyBorder="1" applyAlignment="1">
      <alignment horizontal="center" vertical="center"/>
    </xf>
    <xf numFmtId="169" fontId="20" fillId="0" borderId="18" xfId="1" applyNumberFormat="1" applyFont="1" applyBorder="1" applyAlignment="1">
      <alignment horizontal="center" vertical="center"/>
    </xf>
    <xf numFmtId="166" fontId="20" fillId="0" borderId="12" xfId="1" applyNumberFormat="1" applyFont="1" applyBorder="1" applyAlignment="1">
      <alignment horizontal="center" vertical="center"/>
    </xf>
    <xf numFmtId="166" fontId="20" fillId="0" borderId="5" xfId="1" applyNumberFormat="1" applyFont="1" applyBorder="1" applyAlignment="1">
      <alignment horizontal="center" vertical="center"/>
    </xf>
    <xf numFmtId="164" fontId="20" fillId="0" borderId="30" xfId="0" applyNumberFormat="1" applyFont="1" applyBorder="1" applyAlignment="1">
      <alignment horizontal="center" vertical="center"/>
    </xf>
    <xf numFmtId="164" fontId="20" fillId="0" borderId="34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left" vertical="center"/>
    </xf>
    <xf numFmtId="164" fontId="10" fillId="0" borderId="10" xfId="0" applyNumberFormat="1" applyFont="1" applyBorder="1" applyAlignment="1">
      <alignment horizontal="left" vertical="center"/>
    </xf>
    <xf numFmtId="164" fontId="10" fillId="0" borderId="18" xfId="0" applyNumberFormat="1" applyFont="1" applyBorder="1" applyAlignment="1">
      <alignment horizontal="left" vertical="center"/>
    </xf>
    <xf numFmtId="164" fontId="10" fillId="0" borderId="12" xfId="0" applyNumberFormat="1" applyFont="1" applyBorder="1" applyAlignment="1">
      <alignment horizontal="left" vertical="center"/>
    </xf>
    <xf numFmtId="164" fontId="10" fillId="0" borderId="16" xfId="0" applyNumberFormat="1" applyFont="1" applyBorder="1" applyAlignment="1">
      <alignment horizontal="left" vertical="center"/>
    </xf>
    <xf numFmtId="164" fontId="10" fillId="0" borderId="76" xfId="0" applyNumberFormat="1" applyFont="1" applyBorder="1" applyAlignment="1">
      <alignment horizontal="center" vertical="top" wrapText="1"/>
    </xf>
    <xf numFmtId="164" fontId="10" fillId="0" borderId="77" xfId="0" applyNumberFormat="1" applyFont="1" applyBorder="1" applyAlignment="1">
      <alignment horizontal="center" vertical="top" wrapText="1"/>
    </xf>
    <xf numFmtId="164" fontId="10" fillId="0" borderId="14" xfId="0" applyNumberFormat="1" applyFont="1" applyBorder="1" applyAlignment="1">
      <alignment horizontal="center" vertical="top" wrapText="1"/>
    </xf>
    <xf numFmtId="164" fontId="10" fillId="0" borderId="0" xfId="0" applyNumberFormat="1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aojinyong/Desktop/&#32918;&#24635;/&#21487;&#32534;&#36753;&#29256;&#26412;/LAKU10&#26376;&#36134;&#21333;.xlsx" TargetMode="External"/><Relationship Id="rId2" Type="http://schemas.openxmlformats.org/officeDocument/2006/relationships/externalLinkPath" Target="/Users/gaojinyong/Desktop/&#32918;&#24635;/&#21487;&#32534;&#36753;&#29256;&#26412;/LAKU10&#26376;&#36134;&#21333;.xlsx" TargetMode="External"/><Relationship Id="rId1" Type="http://schemas.openxmlformats.org/officeDocument/2006/relationships/externalLinkPath" Target="/Users/gaojinyong/Desktop/&#32918;&#24635;/&#21487;&#32534;&#36753;&#29256;&#26412;/LAKU10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aojinyong/Desktop/&#32918;&#24635;/&#21487;&#32534;&#36753;&#29256;&#26412;/2026&#24180;&#65297;&#26376;laku.xlsx" TargetMode="External"/><Relationship Id="rId2" Type="http://schemas.openxmlformats.org/officeDocument/2006/relationships/externalLinkPath" Target="/Users/gaojinyong/Desktop/&#32918;&#24635;/&#21487;&#32534;&#36753;&#29256;&#26412;/2026&#24180;&#65297;&#26376;laku.xlsx" TargetMode="External"/><Relationship Id="rId1" Type="http://schemas.openxmlformats.org/officeDocument/2006/relationships/externalLinkPath" Target="/Users/gaojinyong/Desktop/&#32918;&#24635;/&#21487;&#32534;&#36753;&#29256;&#26412;/2026&#24180;&#65297;&#26376;la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收支表 (2)"/>
      <sheetName val="予約明細"/>
      <sheetName val="Sheet1"/>
    </sheetNames>
    <sheetDataSet>
      <sheetData sheetId="0"/>
      <sheetData sheetId="1">
        <row r="1">
          <cell r="P1">
            <v>6737353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收支表 (2)"/>
      <sheetName val="ホテル運営分析データ表"/>
      <sheetName val="8-12月明細"/>
    </sheetNames>
    <sheetDataSet>
      <sheetData sheetId="0"/>
      <sheetData sheetId="1"/>
      <sheetData sheetId="2">
        <row r="55">
          <cell r="U55">
            <v>3645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trip.com/" TargetMode="External"/><Relationship Id="rId13" Type="http://schemas.openxmlformats.org/officeDocument/2006/relationships/hyperlink" Target="http://booking.com/" TargetMode="External"/><Relationship Id="rId18" Type="http://schemas.openxmlformats.org/officeDocument/2006/relationships/hyperlink" Target="http://trip.com/" TargetMode="External"/><Relationship Id="rId26" Type="http://schemas.openxmlformats.org/officeDocument/2006/relationships/hyperlink" Target="http://booking.com/" TargetMode="External"/><Relationship Id="rId3" Type="http://schemas.openxmlformats.org/officeDocument/2006/relationships/hyperlink" Target="http://trip.com/" TargetMode="External"/><Relationship Id="rId21" Type="http://schemas.openxmlformats.org/officeDocument/2006/relationships/hyperlink" Target="http://trip.com/" TargetMode="External"/><Relationship Id="rId7" Type="http://schemas.openxmlformats.org/officeDocument/2006/relationships/hyperlink" Target="http://trip.com/" TargetMode="External"/><Relationship Id="rId12" Type="http://schemas.openxmlformats.org/officeDocument/2006/relationships/hyperlink" Target="http://booking.com/" TargetMode="External"/><Relationship Id="rId17" Type="http://schemas.openxmlformats.org/officeDocument/2006/relationships/hyperlink" Target="http://trip.com/" TargetMode="External"/><Relationship Id="rId25" Type="http://schemas.openxmlformats.org/officeDocument/2006/relationships/hyperlink" Target="http://booking.com/" TargetMode="External"/><Relationship Id="rId2" Type="http://schemas.openxmlformats.org/officeDocument/2006/relationships/hyperlink" Target="http://trip.com/" TargetMode="External"/><Relationship Id="rId16" Type="http://schemas.openxmlformats.org/officeDocument/2006/relationships/hyperlink" Target="http://trip.com/" TargetMode="External"/><Relationship Id="rId20" Type="http://schemas.openxmlformats.org/officeDocument/2006/relationships/hyperlink" Target="http://trip.com/" TargetMode="External"/><Relationship Id="rId29" Type="http://schemas.openxmlformats.org/officeDocument/2006/relationships/hyperlink" Target="http://trip.com/" TargetMode="External"/><Relationship Id="rId1" Type="http://schemas.openxmlformats.org/officeDocument/2006/relationships/hyperlink" Target="http://trip.com/" TargetMode="External"/><Relationship Id="rId6" Type="http://schemas.openxmlformats.org/officeDocument/2006/relationships/hyperlink" Target="http://trip.com/" TargetMode="External"/><Relationship Id="rId11" Type="http://schemas.openxmlformats.org/officeDocument/2006/relationships/hyperlink" Target="http://trip.com/" TargetMode="External"/><Relationship Id="rId24" Type="http://schemas.openxmlformats.org/officeDocument/2006/relationships/hyperlink" Target="http://trip.com/" TargetMode="External"/><Relationship Id="rId5" Type="http://schemas.openxmlformats.org/officeDocument/2006/relationships/hyperlink" Target="http://booking.com/" TargetMode="External"/><Relationship Id="rId15" Type="http://schemas.openxmlformats.org/officeDocument/2006/relationships/hyperlink" Target="http://trip.com/" TargetMode="External"/><Relationship Id="rId23" Type="http://schemas.openxmlformats.org/officeDocument/2006/relationships/hyperlink" Target="http://booking.com/" TargetMode="External"/><Relationship Id="rId28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19" Type="http://schemas.openxmlformats.org/officeDocument/2006/relationships/hyperlink" Target="http://trip.com/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://trip.com/" TargetMode="External"/><Relationship Id="rId9" Type="http://schemas.openxmlformats.org/officeDocument/2006/relationships/hyperlink" Target="http://trip.com/" TargetMode="External"/><Relationship Id="rId14" Type="http://schemas.openxmlformats.org/officeDocument/2006/relationships/hyperlink" Target="http://trip.com/" TargetMode="External"/><Relationship Id="rId22" Type="http://schemas.openxmlformats.org/officeDocument/2006/relationships/hyperlink" Target="http://booking.com/" TargetMode="External"/><Relationship Id="rId27" Type="http://schemas.openxmlformats.org/officeDocument/2006/relationships/hyperlink" Target="http://booking.com/" TargetMode="External"/><Relationship Id="rId30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962D-8734-1C42-BA7C-267E41C3F00A}">
  <sheetPr>
    <tabColor rgb="FFFF0000"/>
    <pageSetUpPr fitToPage="1"/>
  </sheetPr>
  <dimension ref="D2:BF32"/>
  <sheetViews>
    <sheetView tabSelected="1" topLeftCell="D1" zoomScale="50" workbookViewId="0">
      <selection activeCell="T42" sqref="T42"/>
    </sheetView>
  </sheetViews>
  <sheetFormatPr baseColWidth="10" defaultColWidth="10.6640625" defaultRowHeight="16"/>
  <cols>
    <col min="1" max="3" width="10.6640625" style="141"/>
    <col min="4" max="5" width="19.33203125" style="135" customWidth="1"/>
    <col min="6" max="6" width="3.33203125" style="180" customWidth="1"/>
    <col min="7" max="7" width="18.33203125" style="141" customWidth="1"/>
    <col min="8" max="8" width="5" style="141" customWidth="1"/>
    <col min="9" max="9" width="11.1640625" style="141" bestFit="1" customWidth="1"/>
    <col min="10" max="11" width="7.83203125" style="141" customWidth="1"/>
    <col min="12" max="12" width="11.1640625" style="135" customWidth="1"/>
    <col min="13" max="14" width="7.83203125" style="135" customWidth="1"/>
    <col min="15" max="15" width="11.33203125" style="135" bestFit="1" customWidth="1"/>
    <col min="16" max="17" width="7.5" style="137" customWidth="1"/>
    <col min="18" max="18" width="12.33203125" style="141" bestFit="1" customWidth="1"/>
    <col min="19" max="20" width="8.1640625" style="141" customWidth="1"/>
    <col min="21" max="21" width="11.33203125" style="141" bestFit="1" customWidth="1"/>
    <col min="22" max="23" width="8.33203125" style="141" customWidth="1"/>
    <col min="24" max="24" width="11.33203125" style="141" bestFit="1" customWidth="1"/>
    <col min="25" max="26" width="7.6640625" style="141" customWidth="1"/>
    <col min="27" max="27" width="12.6640625" style="141" customWidth="1"/>
    <col min="28" max="44" width="7.6640625" style="141" customWidth="1"/>
    <col min="45" max="45" width="16.5" style="141" bestFit="1" customWidth="1"/>
    <col min="46" max="46" width="10.6640625" style="141"/>
    <col min="47" max="59" width="11.5" style="141" customWidth="1"/>
    <col min="60" max="16384" width="10.6640625" style="141"/>
  </cols>
  <sheetData>
    <row r="2" spans="4:58" ht="17" thickBot="1"/>
    <row r="3" spans="4:58" ht="23" thickBot="1">
      <c r="D3" s="354">
        <v>45870</v>
      </c>
      <c r="E3" s="354">
        <v>45901</v>
      </c>
      <c r="F3" s="322"/>
      <c r="G3" s="259"/>
      <c r="H3" s="319" t="s">
        <v>5</v>
      </c>
      <c r="I3" s="414">
        <v>45931</v>
      </c>
      <c r="J3" s="415"/>
      <c r="K3" s="416"/>
      <c r="L3" s="415">
        <v>45962</v>
      </c>
      <c r="M3" s="415"/>
      <c r="N3" s="416"/>
      <c r="O3" s="414">
        <v>45992</v>
      </c>
      <c r="P3" s="415"/>
      <c r="Q3" s="416"/>
      <c r="R3" s="414">
        <v>46023</v>
      </c>
      <c r="S3" s="415"/>
      <c r="T3" s="416"/>
      <c r="U3" s="414">
        <v>46054</v>
      </c>
      <c r="V3" s="415"/>
      <c r="W3" s="416"/>
      <c r="X3" s="414">
        <v>46082</v>
      </c>
      <c r="Y3" s="415"/>
      <c r="Z3" s="416"/>
      <c r="AA3" s="414">
        <v>46113</v>
      </c>
      <c r="AB3" s="415"/>
      <c r="AC3" s="416"/>
      <c r="AD3" s="414">
        <v>46143</v>
      </c>
      <c r="AE3" s="415"/>
      <c r="AF3" s="416"/>
      <c r="AG3" s="414">
        <v>46174</v>
      </c>
      <c r="AH3" s="415"/>
      <c r="AI3" s="416"/>
      <c r="AJ3" s="414">
        <v>46204</v>
      </c>
      <c r="AK3" s="415"/>
      <c r="AL3" s="416"/>
      <c r="AM3" s="414">
        <v>46235</v>
      </c>
      <c r="AN3" s="415"/>
      <c r="AO3" s="416"/>
      <c r="AP3" s="414">
        <v>46266</v>
      </c>
      <c r="AQ3" s="415"/>
      <c r="AR3" s="416"/>
      <c r="AS3" s="320" t="s">
        <v>22</v>
      </c>
      <c r="AU3" s="142"/>
      <c r="AV3" s="133"/>
      <c r="AW3" s="142"/>
      <c r="AX3" s="142"/>
      <c r="AY3" s="142"/>
      <c r="AZ3" s="142"/>
      <c r="BA3" s="142"/>
      <c r="BB3" s="142"/>
      <c r="BC3" s="142"/>
      <c r="BD3" s="142"/>
      <c r="BE3" s="142"/>
      <c r="BF3" s="142"/>
    </row>
    <row r="4" spans="4:58" ht="22">
      <c r="D4" s="355">
        <v>2397538</v>
      </c>
      <c r="E4" s="355">
        <v>3476309</v>
      </c>
      <c r="F4" s="323">
        <v>1</v>
      </c>
      <c r="G4" s="310" t="s">
        <v>0</v>
      </c>
      <c r="H4" s="311" t="s">
        <v>6</v>
      </c>
      <c r="I4" s="395">
        <f>'2025年10月分析データ表'!C9</f>
        <v>6737353</v>
      </c>
      <c r="J4" s="396"/>
      <c r="K4" s="397"/>
      <c r="L4" s="396">
        <f>'2025年11月予約一覧表'!K2</f>
        <v>7079337</v>
      </c>
      <c r="M4" s="396"/>
      <c r="N4" s="397"/>
      <c r="O4" s="395">
        <f>'2025年12月分析データ表'!C9</f>
        <v>7256184</v>
      </c>
      <c r="P4" s="396"/>
      <c r="Q4" s="397"/>
      <c r="R4" s="395">
        <f>'2026年1月分析データ表'!C9</f>
        <v>6715278</v>
      </c>
      <c r="S4" s="396"/>
      <c r="T4" s="397"/>
      <c r="U4" s="395">
        <f>'2026年２月分析データ表'!C9</f>
        <v>5113703</v>
      </c>
      <c r="V4" s="396"/>
      <c r="W4" s="397"/>
      <c r="X4" s="395">
        <f>'2026年3月分析データ表'!C9</f>
        <v>7046459</v>
      </c>
      <c r="Y4" s="396"/>
      <c r="Z4" s="397"/>
      <c r="AA4" s="437">
        <f>'2026年月4分析データ表'!C9</f>
        <v>9682526</v>
      </c>
      <c r="AB4" s="438"/>
      <c r="AC4" s="439"/>
      <c r="AD4" s="437"/>
      <c r="AE4" s="438"/>
      <c r="AF4" s="439"/>
      <c r="AG4" s="437"/>
      <c r="AH4" s="438"/>
      <c r="AI4" s="439"/>
      <c r="AJ4" s="437"/>
      <c r="AK4" s="438"/>
      <c r="AL4" s="439"/>
      <c r="AM4" s="437"/>
      <c r="AN4" s="438"/>
      <c r="AO4" s="439"/>
      <c r="AP4" s="437"/>
      <c r="AQ4" s="438"/>
      <c r="AR4" s="439"/>
      <c r="AS4" s="326">
        <f>SUM(I4:AR4)</f>
        <v>49630840</v>
      </c>
      <c r="AV4" s="135"/>
    </row>
    <row r="5" spans="4:58" ht="22">
      <c r="F5" s="323"/>
      <c r="G5" s="331" t="s">
        <v>604</v>
      </c>
      <c r="H5" s="332" t="s">
        <v>6</v>
      </c>
      <c r="I5" s="409">
        <v>8311944</v>
      </c>
      <c r="J5" s="410"/>
      <c r="K5" s="411"/>
      <c r="L5" s="409">
        <v>6770995</v>
      </c>
      <c r="M5" s="410"/>
      <c r="N5" s="411"/>
      <c r="O5" s="409">
        <v>6450137</v>
      </c>
      <c r="P5" s="410"/>
      <c r="Q5" s="411"/>
      <c r="R5" s="409">
        <v>7471898</v>
      </c>
      <c r="S5" s="410"/>
      <c r="T5" s="411"/>
      <c r="U5" s="409">
        <v>6679618</v>
      </c>
      <c r="V5" s="410"/>
      <c r="W5" s="411"/>
      <c r="X5" s="409">
        <v>7001514</v>
      </c>
      <c r="Y5" s="410"/>
      <c r="Z5" s="411"/>
      <c r="AA5" s="409">
        <v>9033013</v>
      </c>
      <c r="AB5" s="410"/>
      <c r="AC5" s="411"/>
      <c r="AD5" s="409">
        <v>6025818</v>
      </c>
      <c r="AE5" s="410"/>
      <c r="AF5" s="411"/>
      <c r="AG5" s="409">
        <v>6523843</v>
      </c>
      <c r="AH5" s="410"/>
      <c r="AI5" s="411"/>
      <c r="AJ5" s="409">
        <v>7984589</v>
      </c>
      <c r="AK5" s="410"/>
      <c r="AL5" s="411"/>
      <c r="AM5" s="409">
        <v>8250742</v>
      </c>
      <c r="AN5" s="410"/>
      <c r="AO5" s="411"/>
      <c r="AP5" s="409">
        <v>6677631</v>
      </c>
      <c r="AQ5" s="410"/>
      <c r="AR5" s="411"/>
      <c r="AS5" s="326">
        <f>SUM(I5:AR5)</f>
        <v>87181742</v>
      </c>
      <c r="AV5" s="135"/>
    </row>
    <row r="6" spans="4:58" ht="22">
      <c r="F6" s="323"/>
      <c r="G6" s="331" t="s">
        <v>605</v>
      </c>
      <c r="H6" s="332" t="s">
        <v>14</v>
      </c>
      <c r="I6" s="417">
        <f>I4/I5*100%</f>
        <v>0.81056284787289234</v>
      </c>
      <c r="J6" s="418"/>
      <c r="K6" s="419"/>
      <c r="L6" s="417">
        <f t="shared" ref="L6" si="0">L4/L5*100%</f>
        <v>1.0455386542155178</v>
      </c>
      <c r="M6" s="418"/>
      <c r="N6" s="419"/>
      <c r="O6" s="417">
        <f t="shared" ref="O6" si="1">O4/O5*100%</f>
        <v>1.1249658728178953</v>
      </c>
      <c r="P6" s="418"/>
      <c r="Q6" s="419"/>
      <c r="R6" s="417">
        <f t="shared" ref="R6" si="2">R4/R5*100%</f>
        <v>0.89873791103679412</v>
      </c>
      <c r="S6" s="418"/>
      <c r="T6" s="419"/>
      <c r="U6" s="417">
        <f t="shared" ref="U6" si="3">U4/U5*100%</f>
        <v>0.76556818069536314</v>
      </c>
      <c r="V6" s="418"/>
      <c r="W6" s="419"/>
      <c r="X6" s="417">
        <f>X4/X5*100%</f>
        <v>1.0064193258772316</v>
      </c>
      <c r="Y6" s="418"/>
      <c r="Z6" s="419"/>
      <c r="AA6" s="417">
        <f>AA4/AA5*100%</f>
        <v>1.0719043579368257</v>
      </c>
      <c r="AB6" s="418"/>
      <c r="AC6" s="419"/>
      <c r="AD6" s="409"/>
      <c r="AE6" s="410"/>
      <c r="AF6" s="411"/>
      <c r="AG6" s="409"/>
      <c r="AH6" s="410"/>
      <c r="AI6" s="411"/>
      <c r="AJ6" s="409"/>
      <c r="AK6" s="410"/>
      <c r="AL6" s="411"/>
      <c r="AM6" s="409"/>
      <c r="AN6" s="410"/>
      <c r="AO6" s="411"/>
      <c r="AP6" s="409"/>
      <c r="AQ6" s="410"/>
      <c r="AR6" s="411"/>
      <c r="AS6" s="333"/>
      <c r="AV6" s="135"/>
    </row>
    <row r="7" spans="4:58" ht="22">
      <c r="F7" s="323">
        <v>2</v>
      </c>
      <c r="G7" s="310" t="s">
        <v>1</v>
      </c>
      <c r="H7" s="311" t="s">
        <v>7</v>
      </c>
      <c r="I7" s="423">
        <f>'2025年10月分析データ表'!C10</f>
        <v>186</v>
      </c>
      <c r="J7" s="424"/>
      <c r="K7" s="425"/>
      <c r="L7" s="424">
        <f>'2025年11月分析データ表'!C10</f>
        <v>208</v>
      </c>
      <c r="M7" s="424"/>
      <c r="N7" s="425"/>
      <c r="O7" s="423">
        <f>'2025年12月分析データ表'!C10</f>
        <v>221</v>
      </c>
      <c r="P7" s="424"/>
      <c r="Q7" s="425"/>
      <c r="R7" s="423">
        <f>'2026年1月分析データ表'!C10</f>
        <v>187</v>
      </c>
      <c r="S7" s="424"/>
      <c r="T7" s="425"/>
      <c r="U7" s="423">
        <f>'2026年２月分析データ表'!C10</f>
        <v>163</v>
      </c>
      <c r="V7" s="424"/>
      <c r="W7" s="425"/>
      <c r="X7" s="389">
        <f>'2026年3月分析データ表'!C10</f>
        <v>179</v>
      </c>
      <c r="Y7" s="390"/>
      <c r="Z7" s="391"/>
      <c r="AA7" s="389">
        <v>165</v>
      </c>
      <c r="AB7" s="390"/>
      <c r="AC7" s="391"/>
      <c r="AD7" s="409"/>
      <c r="AE7" s="410"/>
      <c r="AF7" s="411"/>
      <c r="AG7" s="409"/>
      <c r="AH7" s="410"/>
      <c r="AI7" s="411"/>
      <c r="AJ7" s="409"/>
      <c r="AK7" s="410"/>
      <c r="AL7" s="411"/>
      <c r="AM7" s="409"/>
      <c r="AN7" s="410"/>
      <c r="AO7" s="411"/>
      <c r="AP7" s="409"/>
      <c r="AQ7" s="410"/>
      <c r="AR7" s="411"/>
      <c r="AS7" s="327">
        <f>I7+L7+O7+R7+U7+X7+AA7+AD7+AG7+AJ7+AM7+AP7</f>
        <v>1309</v>
      </c>
      <c r="AU7" s="142"/>
      <c r="AV7" s="133"/>
      <c r="AW7" s="142"/>
      <c r="AX7" s="142"/>
      <c r="AY7" s="142"/>
      <c r="AZ7" s="142"/>
      <c r="BA7" s="142"/>
      <c r="BB7" s="142"/>
      <c r="BC7" s="142"/>
      <c r="BD7" s="142"/>
      <c r="BE7" s="142"/>
      <c r="BF7" s="142"/>
    </row>
    <row r="8" spans="4:58" ht="22">
      <c r="F8" s="323">
        <v>3</v>
      </c>
      <c r="G8" s="310" t="s">
        <v>2</v>
      </c>
      <c r="H8" s="311" t="s">
        <v>8</v>
      </c>
      <c r="I8" s="423">
        <f>'2025年10月分析データ表'!C11</f>
        <v>609</v>
      </c>
      <c r="J8" s="424"/>
      <c r="K8" s="425"/>
      <c r="L8" s="424">
        <f>'2025年11月分析データ表'!C11</f>
        <v>634</v>
      </c>
      <c r="M8" s="424"/>
      <c r="N8" s="425"/>
      <c r="O8" s="423">
        <f>'2025年12月分析データ表'!C11</f>
        <v>654</v>
      </c>
      <c r="P8" s="424"/>
      <c r="Q8" s="425"/>
      <c r="R8" s="423">
        <f>'2026年1月分析データ表'!C11</f>
        <v>635</v>
      </c>
      <c r="S8" s="424"/>
      <c r="T8" s="425"/>
      <c r="U8" s="423">
        <f>'2026年２月分析データ表'!C11</f>
        <v>559</v>
      </c>
      <c r="V8" s="424"/>
      <c r="W8" s="425"/>
      <c r="X8" s="389">
        <f>'2026年3月分析データ表'!C11</f>
        <v>680</v>
      </c>
      <c r="Y8" s="390"/>
      <c r="Z8" s="391"/>
      <c r="AA8" s="389">
        <v>648</v>
      </c>
      <c r="AB8" s="390"/>
      <c r="AC8" s="391"/>
      <c r="AD8" s="409"/>
      <c r="AE8" s="410"/>
      <c r="AF8" s="411"/>
      <c r="AG8" s="409"/>
      <c r="AH8" s="410"/>
      <c r="AI8" s="411"/>
      <c r="AJ8" s="409"/>
      <c r="AK8" s="410"/>
      <c r="AL8" s="411"/>
      <c r="AM8" s="409"/>
      <c r="AN8" s="410"/>
      <c r="AO8" s="411"/>
      <c r="AP8" s="409"/>
      <c r="AQ8" s="410"/>
      <c r="AR8" s="411"/>
      <c r="AS8" s="327">
        <f>I8+L8+O8+R8+U8+X8+AA8+AD8+AG8+AJ8+AM8+AP8</f>
        <v>4419</v>
      </c>
      <c r="AV8" s="135"/>
    </row>
    <row r="9" spans="4:58" ht="22">
      <c r="F9" s="323">
        <v>4</v>
      </c>
      <c r="G9" s="310" t="s">
        <v>3</v>
      </c>
      <c r="H9" s="311" t="s">
        <v>9</v>
      </c>
      <c r="I9" s="423">
        <f>'2025年10月分析データ表'!C12</f>
        <v>9</v>
      </c>
      <c r="J9" s="424"/>
      <c r="K9" s="425"/>
      <c r="L9" s="424">
        <f>'2025年11月分析データ表'!C12</f>
        <v>9</v>
      </c>
      <c r="M9" s="424"/>
      <c r="N9" s="425"/>
      <c r="O9" s="423">
        <f>'2025年12月分析データ表'!C8</f>
        <v>9</v>
      </c>
      <c r="P9" s="424"/>
      <c r="Q9" s="425"/>
      <c r="R9" s="423">
        <f>'2026年1月分析データ表'!C8</f>
        <v>9</v>
      </c>
      <c r="S9" s="424"/>
      <c r="T9" s="425"/>
      <c r="U9" s="423">
        <f>'2026年２月分析データ表'!C12</f>
        <v>9</v>
      </c>
      <c r="V9" s="424"/>
      <c r="W9" s="425"/>
      <c r="X9" s="389">
        <f>'2026年3月分析データ表'!C8</f>
        <v>9</v>
      </c>
      <c r="Y9" s="390"/>
      <c r="Z9" s="391"/>
      <c r="AA9" s="389">
        <v>9</v>
      </c>
      <c r="AB9" s="390"/>
      <c r="AC9" s="391"/>
      <c r="AD9" s="409"/>
      <c r="AE9" s="410"/>
      <c r="AF9" s="411"/>
      <c r="AG9" s="409"/>
      <c r="AH9" s="410"/>
      <c r="AI9" s="411"/>
      <c r="AJ9" s="409"/>
      <c r="AK9" s="410"/>
      <c r="AL9" s="411"/>
      <c r="AM9" s="409"/>
      <c r="AN9" s="410"/>
      <c r="AO9" s="411"/>
      <c r="AP9" s="409"/>
      <c r="AQ9" s="410"/>
      <c r="AR9" s="411"/>
      <c r="AS9" s="327">
        <f>I9+L9+O9+R9+U9+X9+AA9+AD9+AG9+AJ9+AM9+AP9</f>
        <v>63</v>
      </c>
      <c r="AU9" s="142"/>
      <c r="AV9" s="133"/>
      <c r="AW9" s="142"/>
      <c r="AX9" s="142"/>
      <c r="AY9" s="142"/>
      <c r="AZ9" s="142"/>
      <c r="BA9" s="142"/>
      <c r="BB9" s="142"/>
      <c r="BC9" s="142"/>
      <c r="BD9" s="142"/>
      <c r="BE9" s="142"/>
      <c r="BF9" s="142"/>
    </row>
    <row r="10" spans="4:58" ht="22">
      <c r="F10" s="323">
        <v>5</v>
      </c>
      <c r="G10" s="310" t="s">
        <v>4</v>
      </c>
      <c r="H10" s="311" t="s">
        <v>9</v>
      </c>
      <c r="I10" s="423">
        <f>'2025年10月分析データ表'!C13</f>
        <v>279</v>
      </c>
      <c r="J10" s="424"/>
      <c r="K10" s="425"/>
      <c r="L10" s="424">
        <f>'2025年11月分析データ表'!C13</f>
        <v>270</v>
      </c>
      <c r="M10" s="424"/>
      <c r="N10" s="425"/>
      <c r="O10" s="423">
        <f>'2025年12月分析データ表'!C13</f>
        <v>279</v>
      </c>
      <c r="P10" s="424"/>
      <c r="Q10" s="425"/>
      <c r="R10" s="423">
        <f>'2026年1月分析データ表'!C13</f>
        <v>279</v>
      </c>
      <c r="S10" s="424"/>
      <c r="T10" s="425"/>
      <c r="U10" s="423">
        <f>'2026年２月分析データ表'!C13</f>
        <v>252</v>
      </c>
      <c r="V10" s="424"/>
      <c r="W10" s="425"/>
      <c r="X10" s="389">
        <f>'2026年3月分析データ表'!C13</f>
        <v>279</v>
      </c>
      <c r="Y10" s="390"/>
      <c r="Z10" s="391"/>
      <c r="AA10" s="389">
        <v>270</v>
      </c>
      <c r="AB10" s="390"/>
      <c r="AC10" s="391"/>
      <c r="AD10" s="409"/>
      <c r="AE10" s="410"/>
      <c r="AF10" s="411"/>
      <c r="AG10" s="409"/>
      <c r="AH10" s="410"/>
      <c r="AI10" s="411"/>
      <c r="AJ10" s="409"/>
      <c r="AK10" s="410"/>
      <c r="AL10" s="411"/>
      <c r="AM10" s="409"/>
      <c r="AN10" s="410"/>
      <c r="AO10" s="411"/>
      <c r="AP10" s="409"/>
      <c r="AQ10" s="410"/>
      <c r="AR10" s="411"/>
      <c r="AS10" s="327">
        <f t="shared" ref="AS10:AS12" si="4">I10+L10+O10+R10+U10+X10+AA10+AD10+AG10+AJ10+AM10+AP10</f>
        <v>1908</v>
      </c>
      <c r="AV10" s="135"/>
    </row>
    <row r="11" spans="4:58" ht="22">
      <c r="F11" s="323">
        <v>6</v>
      </c>
      <c r="G11" s="310" t="s">
        <v>10</v>
      </c>
      <c r="H11" s="311" t="s">
        <v>11</v>
      </c>
      <c r="I11" s="423">
        <f>'2025年10月分析データ表'!C13</f>
        <v>279</v>
      </c>
      <c r="J11" s="424"/>
      <c r="K11" s="425"/>
      <c r="L11" s="424">
        <f>'2025年11月分析データ表'!C13</f>
        <v>270</v>
      </c>
      <c r="M11" s="424"/>
      <c r="N11" s="425"/>
      <c r="O11" s="423">
        <f>'2025年12月分析データ表'!C13</f>
        <v>279</v>
      </c>
      <c r="P11" s="424"/>
      <c r="Q11" s="425"/>
      <c r="R11" s="423">
        <f>'2026年1月分析データ表'!C13</f>
        <v>279</v>
      </c>
      <c r="S11" s="424"/>
      <c r="T11" s="425"/>
      <c r="U11" s="423">
        <f>'2026年２月分析データ表'!C13</f>
        <v>252</v>
      </c>
      <c r="V11" s="424"/>
      <c r="W11" s="425"/>
      <c r="X11" s="389">
        <f>'2026年3月分析データ表'!C13</f>
        <v>279</v>
      </c>
      <c r="Y11" s="390"/>
      <c r="Z11" s="391"/>
      <c r="AA11" s="389">
        <v>270</v>
      </c>
      <c r="AB11" s="390"/>
      <c r="AC11" s="391"/>
      <c r="AD11" s="409"/>
      <c r="AE11" s="410"/>
      <c r="AF11" s="411"/>
      <c r="AG11" s="409"/>
      <c r="AH11" s="410"/>
      <c r="AI11" s="411"/>
      <c r="AJ11" s="409"/>
      <c r="AK11" s="410"/>
      <c r="AL11" s="411"/>
      <c r="AM11" s="409"/>
      <c r="AN11" s="410"/>
      <c r="AO11" s="411"/>
      <c r="AP11" s="409"/>
      <c r="AQ11" s="410"/>
      <c r="AR11" s="411"/>
      <c r="AS11" s="327">
        <f t="shared" si="4"/>
        <v>1908</v>
      </c>
      <c r="AU11" s="142"/>
      <c r="AV11" s="133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</row>
    <row r="12" spans="4:58" ht="22">
      <c r="F12" s="323">
        <v>7</v>
      </c>
      <c r="G12" s="310" t="s">
        <v>12</v>
      </c>
      <c r="H12" s="311" t="s">
        <v>11</v>
      </c>
      <c r="I12" s="423">
        <f>'2025年10月分析データ表'!C14</f>
        <v>239</v>
      </c>
      <c r="J12" s="424"/>
      <c r="K12" s="425"/>
      <c r="L12" s="426">
        <f>'2025年11月分析データ表'!C14</f>
        <v>251</v>
      </c>
      <c r="M12" s="426"/>
      <c r="N12" s="427"/>
      <c r="O12" s="423">
        <f>'2025年12月分析データ表'!C14</f>
        <v>248</v>
      </c>
      <c r="P12" s="424"/>
      <c r="Q12" s="425"/>
      <c r="R12" s="423">
        <f>'2026年1月分析データ表'!C14</f>
        <v>224</v>
      </c>
      <c r="S12" s="424"/>
      <c r="T12" s="425"/>
      <c r="U12" s="423">
        <f>'2026年２月分析データ表'!C14</f>
        <v>199</v>
      </c>
      <c r="V12" s="424"/>
      <c r="W12" s="425"/>
      <c r="X12" s="389">
        <f>'2026年3月分析データ表'!C14</f>
        <v>240</v>
      </c>
      <c r="Y12" s="390"/>
      <c r="Z12" s="391"/>
      <c r="AA12" s="389">
        <v>239</v>
      </c>
      <c r="AB12" s="390"/>
      <c r="AC12" s="391"/>
      <c r="AD12" s="409"/>
      <c r="AE12" s="410"/>
      <c r="AF12" s="411"/>
      <c r="AG12" s="409"/>
      <c r="AH12" s="410"/>
      <c r="AI12" s="411"/>
      <c r="AJ12" s="409"/>
      <c r="AK12" s="410"/>
      <c r="AL12" s="411"/>
      <c r="AM12" s="409"/>
      <c r="AN12" s="410"/>
      <c r="AO12" s="411"/>
      <c r="AP12" s="409"/>
      <c r="AQ12" s="410"/>
      <c r="AR12" s="411"/>
      <c r="AS12" s="327">
        <f t="shared" si="4"/>
        <v>1640</v>
      </c>
      <c r="AV12" s="135"/>
    </row>
    <row r="13" spans="4:58" s="148" customFormat="1" ht="22">
      <c r="D13" s="144"/>
      <c r="E13" s="144"/>
      <c r="F13" s="324">
        <v>8</v>
      </c>
      <c r="G13" s="312" t="s">
        <v>13</v>
      </c>
      <c r="H13" s="313" t="s">
        <v>14</v>
      </c>
      <c r="I13" s="392">
        <f>'2025年10月分析データ表'!C23</f>
        <v>0.85663082437275984</v>
      </c>
      <c r="J13" s="393"/>
      <c r="K13" s="394"/>
      <c r="L13" s="393">
        <f>'2025年11月分析データ表'!C23</f>
        <v>0.92962962962962958</v>
      </c>
      <c r="M13" s="393"/>
      <c r="N13" s="394"/>
      <c r="O13" s="392">
        <f>'2025年12月分析データ表'!C23</f>
        <v>0.88888888888888884</v>
      </c>
      <c r="P13" s="393"/>
      <c r="Q13" s="394"/>
      <c r="R13" s="392">
        <f>'2026年1月分析データ表'!C23</f>
        <v>0.80286738351254483</v>
      </c>
      <c r="S13" s="393"/>
      <c r="T13" s="394"/>
      <c r="U13" s="392">
        <f>'2026年２月分析データ表'!C23</f>
        <v>0.78968253968253965</v>
      </c>
      <c r="V13" s="393"/>
      <c r="W13" s="394"/>
      <c r="X13" s="392">
        <f>'2026年3月分析データ表'!C23</f>
        <v>0.86021505376344087</v>
      </c>
      <c r="Y13" s="393"/>
      <c r="Z13" s="394"/>
      <c r="AA13" s="392">
        <v>0.88500000000000001</v>
      </c>
      <c r="AB13" s="413"/>
      <c r="AC13" s="394"/>
      <c r="AD13" s="409"/>
      <c r="AE13" s="410"/>
      <c r="AF13" s="411"/>
      <c r="AG13" s="409"/>
      <c r="AH13" s="410"/>
      <c r="AI13" s="411"/>
      <c r="AJ13" s="409"/>
      <c r="AK13" s="410"/>
      <c r="AL13" s="411"/>
      <c r="AM13" s="409"/>
      <c r="AN13" s="410"/>
      <c r="AO13" s="411"/>
      <c r="AP13" s="409"/>
      <c r="AQ13" s="410"/>
      <c r="AR13" s="411"/>
      <c r="AS13" s="328">
        <f t="shared" ref="AS13:AS18" si="5">(I13+L13+O13+R13+U13+X13+AA13+AD13+AG13+AJ13+AM13+AP13)/12</f>
        <v>0.50107619332081699</v>
      </c>
      <c r="AV13" s="144"/>
    </row>
    <row r="14" spans="4:58" ht="22">
      <c r="F14" s="323">
        <v>9</v>
      </c>
      <c r="G14" s="310" t="s">
        <v>15</v>
      </c>
      <c r="H14" s="314" t="s">
        <v>6</v>
      </c>
      <c r="I14" s="395">
        <f>'2025年10月分析データ表'!C24</f>
        <v>28189.761506276151</v>
      </c>
      <c r="J14" s="396"/>
      <c r="K14" s="397"/>
      <c r="L14" s="396">
        <f>'2025年11月分析データ表'!C24</f>
        <v>28204.529880478087</v>
      </c>
      <c r="M14" s="396"/>
      <c r="N14" s="397"/>
      <c r="O14" s="395">
        <f>'2025年12月分析データ表'!C24</f>
        <v>29258.806451612902</v>
      </c>
      <c r="P14" s="396"/>
      <c r="Q14" s="397"/>
      <c r="R14" s="395">
        <f>'2026年1月分析データ表'!C24</f>
        <v>29978.919642857141</v>
      </c>
      <c r="S14" s="396"/>
      <c r="T14" s="397"/>
      <c r="U14" s="395">
        <f>'2026年２月分析データ表'!C24</f>
        <v>25697</v>
      </c>
      <c r="V14" s="396"/>
      <c r="W14" s="397"/>
      <c r="X14" s="395">
        <f>'2026年3月分析データ表'!C24</f>
        <v>29360.245833333334</v>
      </c>
      <c r="Y14" s="396"/>
      <c r="Z14" s="397"/>
      <c r="AA14" s="395">
        <v>40513</v>
      </c>
      <c r="AB14" s="396"/>
      <c r="AC14" s="397"/>
      <c r="AD14" s="409"/>
      <c r="AE14" s="410"/>
      <c r="AF14" s="411"/>
      <c r="AG14" s="409"/>
      <c r="AH14" s="410"/>
      <c r="AI14" s="411"/>
      <c r="AJ14" s="409"/>
      <c r="AK14" s="410"/>
      <c r="AL14" s="411"/>
      <c r="AM14" s="409"/>
      <c r="AN14" s="410"/>
      <c r="AO14" s="411"/>
      <c r="AP14" s="409"/>
      <c r="AQ14" s="410"/>
      <c r="AR14" s="411"/>
      <c r="AS14" s="329">
        <f t="shared" si="5"/>
        <v>17600.188609546469</v>
      </c>
    </row>
    <row r="15" spans="4:58" ht="22">
      <c r="F15" s="323">
        <v>10</v>
      </c>
      <c r="G15" s="310" t="s">
        <v>16</v>
      </c>
      <c r="H15" s="314" t="s">
        <v>6</v>
      </c>
      <c r="I15" s="395">
        <f>'2025年10月分析データ表'!C26</f>
        <v>24148.218637992832</v>
      </c>
      <c r="J15" s="396"/>
      <c r="K15" s="397"/>
      <c r="L15" s="396">
        <f>'2025年11月分析データ表'!C26</f>
        <v>26219.766666666666</v>
      </c>
      <c r="M15" s="396"/>
      <c r="N15" s="397"/>
      <c r="O15" s="395">
        <f>'2025年12月分析データ表'!C26</f>
        <v>26007.827956989247</v>
      </c>
      <c r="P15" s="396"/>
      <c r="Q15" s="397"/>
      <c r="R15" s="395">
        <f>'2026年1月分析データ表'!C26</f>
        <v>24069.096774193549</v>
      </c>
      <c r="S15" s="396"/>
      <c r="T15" s="397"/>
      <c r="U15" s="395">
        <f>'2026年２月分析データ表'!C26</f>
        <v>20292.472222222223</v>
      </c>
      <c r="V15" s="396"/>
      <c r="W15" s="397"/>
      <c r="X15" s="395">
        <f>'2026年3月分析データ表'!C26</f>
        <v>25256.125448028673</v>
      </c>
      <c r="Y15" s="396"/>
      <c r="Z15" s="397"/>
      <c r="AA15" s="395">
        <v>35861</v>
      </c>
      <c r="AB15" s="396"/>
      <c r="AC15" s="397"/>
      <c r="AD15" s="409"/>
      <c r="AE15" s="410"/>
      <c r="AF15" s="411"/>
      <c r="AG15" s="409"/>
      <c r="AH15" s="410"/>
      <c r="AI15" s="411"/>
      <c r="AJ15" s="409"/>
      <c r="AK15" s="410"/>
      <c r="AL15" s="411"/>
      <c r="AM15" s="409"/>
      <c r="AN15" s="410"/>
      <c r="AO15" s="411"/>
      <c r="AP15" s="409"/>
      <c r="AQ15" s="410"/>
      <c r="AR15" s="411"/>
      <c r="AS15" s="329">
        <f t="shared" si="5"/>
        <v>15154.542308841099</v>
      </c>
    </row>
    <row r="16" spans="4:58" ht="22">
      <c r="F16" s="323">
        <v>11</v>
      </c>
      <c r="G16" s="310" t="s">
        <v>17</v>
      </c>
      <c r="H16" s="311" t="s">
        <v>6</v>
      </c>
      <c r="I16" s="395">
        <f>'2025年10月分析データ表'!C27</f>
        <v>610.48867343240306</v>
      </c>
      <c r="J16" s="396"/>
      <c r="K16" s="397"/>
      <c r="L16" s="396">
        <f>'2025年11月分析データ表'!C27</f>
        <v>662.85926966292129</v>
      </c>
      <c r="M16" s="396"/>
      <c r="N16" s="397"/>
      <c r="O16" s="395">
        <f>'2025年12月分析データ表'!C27</f>
        <v>657.50126857557086</v>
      </c>
      <c r="P16" s="396"/>
      <c r="Q16" s="397"/>
      <c r="R16" s="395">
        <f>'2026年1月分析データ表'!C27</f>
        <v>608.48840159478073</v>
      </c>
      <c r="S16" s="396"/>
      <c r="T16" s="397"/>
      <c r="U16" s="395">
        <f>'2026年２月分析データ表'!C27</f>
        <v>513.01193820224717</v>
      </c>
      <c r="V16" s="396"/>
      <c r="W16" s="397"/>
      <c r="X16" s="395">
        <f>'2026年3月分析データ表'!C27</f>
        <v>638.49755346139909</v>
      </c>
      <c r="Y16" s="396"/>
      <c r="Z16" s="397"/>
      <c r="AA16" s="395">
        <v>907</v>
      </c>
      <c r="AB16" s="396"/>
      <c r="AC16" s="397"/>
      <c r="AD16" s="409"/>
      <c r="AE16" s="410"/>
      <c r="AF16" s="411"/>
      <c r="AG16" s="409"/>
      <c r="AH16" s="410"/>
      <c r="AI16" s="411"/>
      <c r="AJ16" s="409"/>
      <c r="AK16" s="410"/>
      <c r="AL16" s="411"/>
      <c r="AM16" s="409"/>
      <c r="AN16" s="410"/>
      <c r="AO16" s="411"/>
      <c r="AP16" s="409"/>
      <c r="AQ16" s="410"/>
      <c r="AR16" s="411"/>
      <c r="AS16" s="329">
        <f t="shared" si="5"/>
        <v>383.15392541077682</v>
      </c>
    </row>
    <row r="17" spans="6:45" ht="22">
      <c r="F17" s="323">
        <v>12</v>
      </c>
      <c r="G17" s="310" t="s">
        <v>18</v>
      </c>
      <c r="H17" s="311" t="s">
        <v>19</v>
      </c>
      <c r="I17" s="428">
        <f>I7/J29</f>
        <v>2.547945205479452</v>
      </c>
      <c r="J17" s="429"/>
      <c r="K17" s="430"/>
      <c r="L17" s="399">
        <f>L7/M29</f>
        <v>2.5060240963855422</v>
      </c>
      <c r="M17" s="399"/>
      <c r="N17" s="400"/>
      <c r="O17" s="398">
        <f>O7/P29</f>
        <v>2.6309523809523809</v>
      </c>
      <c r="P17" s="399"/>
      <c r="Q17" s="400"/>
      <c r="R17" s="398">
        <f>R7/S29</f>
        <v>2.75</v>
      </c>
      <c r="S17" s="399"/>
      <c r="T17" s="400"/>
      <c r="U17" s="398">
        <f>U7/V29</f>
        <v>2.9636363636363638</v>
      </c>
      <c r="V17" s="399"/>
      <c r="W17" s="400"/>
      <c r="X17" s="398">
        <f>X7/Y29</f>
        <v>2.796875</v>
      </c>
      <c r="Y17" s="399"/>
      <c r="Z17" s="400"/>
      <c r="AA17" s="398">
        <f>AA7/AB29</f>
        <v>2.661290322580645</v>
      </c>
      <c r="AB17" s="399"/>
      <c r="AC17" s="400"/>
      <c r="AD17" s="409"/>
      <c r="AE17" s="410"/>
      <c r="AF17" s="411"/>
      <c r="AG17" s="409"/>
      <c r="AH17" s="410"/>
      <c r="AI17" s="411"/>
      <c r="AJ17" s="409"/>
      <c r="AK17" s="410"/>
      <c r="AL17" s="411"/>
      <c r="AM17" s="409"/>
      <c r="AN17" s="410"/>
      <c r="AO17" s="411"/>
      <c r="AP17" s="409"/>
      <c r="AQ17" s="410"/>
      <c r="AR17" s="411"/>
      <c r="AS17" s="330">
        <f t="shared" si="5"/>
        <v>1.5713936140861986</v>
      </c>
    </row>
    <row r="18" spans="6:45" ht="23" thickBot="1">
      <c r="F18" s="323">
        <v>13</v>
      </c>
      <c r="G18" s="315" t="s">
        <v>20</v>
      </c>
      <c r="H18" s="316" t="s">
        <v>21</v>
      </c>
      <c r="I18" s="420">
        <f>I8/I12</f>
        <v>2.5481171548117154</v>
      </c>
      <c r="J18" s="421"/>
      <c r="K18" s="422"/>
      <c r="L18" s="405">
        <f>L8/L12</f>
        <v>2.5258964143426295</v>
      </c>
      <c r="M18" s="405"/>
      <c r="N18" s="406"/>
      <c r="O18" s="404">
        <f>O8/O12</f>
        <v>2.6370967741935485</v>
      </c>
      <c r="P18" s="405"/>
      <c r="Q18" s="406"/>
      <c r="R18" s="398">
        <f>R8/R12</f>
        <v>2.8348214285714284</v>
      </c>
      <c r="S18" s="399"/>
      <c r="T18" s="400"/>
      <c r="U18" s="398">
        <f>U8/U12</f>
        <v>2.8090452261306531</v>
      </c>
      <c r="V18" s="399"/>
      <c r="W18" s="400"/>
      <c r="X18" s="398">
        <f>X8/X12</f>
        <v>2.8333333333333335</v>
      </c>
      <c r="Y18" s="399"/>
      <c r="Z18" s="400"/>
      <c r="AA18" s="398">
        <f>AA8/AA12</f>
        <v>2.7112970711297071</v>
      </c>
      <c r="AB18" s="399"/>
      <c r="AC18" s="400"/>
      <c r="AD18" s="404"/>
      <c r="AE18" s="405"/>
      <c r="AF18" s="406"/>
      <c r="AG18" s="404"/>
      <c r="AH18" s="405"/>
      <c r="AI18" s="406"/>
      <c r="AJ18" s="404"/>
      <c r="AK18" s="405"/>
      <c r="AL18" s="406"/>
      <c r="AM18" s="404"/>
      <c r="AN18" s="405"/>
      <c r="AO18" s="406"/>
      <c r="AP18" s="404"/>
      <c r="AQ18" s="405"/>
      <c r="AR18" s="406"/>
      <c r="AS18" s="330">
        <f t="shared" si="5"/>
        <v>1.5749672835427513</v>
      </c>
    </row>
    <row r="19" spans="6:45" ht="8" customHeight="1" thickBot="1">
      <c r="F19" s="323"/>
      <c r="G19" s="317"/>
      <c r="H19" s="318"/>
      <c r="I19" s="181"/>
      <c r="J19" s="182"/>
      <c r="K19" s="183"/>
      <c r="L19" s="184"/>
      <c r="M19" s="184"/>
      <c r="N19" s="185"/>
      <c r="O19" s="186"/>
      <c r="P19" s="187"/>
      <c r="Q19" s="188"/>
      <c r="R19" s="242"/>
      <c r="S19" s="243"/>
      <c r="T19" s="244"/>
      <c r="U19" s="245"/>
      <c r="V19" s="246"/>
      <c r="W19" s="247"/>
      <c r="X19" s="245"/>
      <c r="Y19" s="246"/>
      <c r="Z19" s="247"/>
      <c r="AA19" s="376"/>
      <c r="AB19" s="377"/>
      <c r="AC19" s="378"/>
      <c r="AD19" s="350"/>
      <c r="AE19" s="337"/>
      <c r="AF19" s="351"/>
      <c r="AG19" s="407"/>
      <c r="AH19" s="407"/>
      <c r="AI19" s="408"/>
      <c r="AJ19" s="412"/>
      <c r="AK19" s="407"/>
      <c r="AL19" s="408"/>
      <c r="AM19" s="412"/>
      <c r="AN19" s="407"/>
      <c r="AO19" s="408"/>
      <c r="AP19" s="412"/>
      <c r="AQ19" s="407"/>
      <c r="AR19" s="408"/>
      <c r="AS19" s="321"/>
    </row>
    <row r="20" spans="6:45" ht="52" thickBot="1">
      <c r="F20" s="323"/>
      <c r="G20" s="435" t="s">
        <v>503</v>
      </c>
      <c r="H20" s="436"/>
      <c r="I20" s="296" t="str">
        <f>'2025年10月分析データ表'!F4</f>
        <v>E（売上）</v>
      </c>
      <c r="J20" s="297" t="str">
        <f>'2025年10月分析データ表'!G4</f>
        <v>F（予約件数）</v>
      </c>
      <c r="K20" s="298" t="str">
        <f>'2025年10月分析データ表'!H4</f>
        <v>G（売上構成比）</v>
      </c>
      <c r="L20" s="299" t="str">
        <f>'2025年11月分析データ表'!F4</f>
        <v>E（売上）</v>
      </c>
      <c r="M20" s="297" t="str">
        <f>'2025年11月分析データ表'!G4</f>
        <v>F（予約件数）</v>
      </c>
      <c r="N20" s="298" t="str">
        <f>'2025年11月分析データ表'!H4</f>
        <v>G（売上構成比）</v>
      </c>
      <c r="O20" s="300" t="str">
        <f>'2025年12月分析データ表'!F4</f>
        <v>E（売上）</v>
      </c>
      <c r="P20" s="297" t="str">
        <f>'2025年12月分析データ表'!G4</f>
        <v>F（予約件数）</v>
      </c>
      <c r="Q20" s="298" t="str">
        <f>'2025年12月分析データ表'!H4</f>
        <v>G（売上構成比）</v>
      </c>
      <c r="R20" s="301" t="str">
        <f>'2026年1月分析データ表'!F4</f>
        <v>E（売上）</v>
      </c>
      <c r="S20" s="302" t="str">
        <f>'2026年1月分析データ表'!G4</f>
        <v>F（予約件数）</v>
      </c>
      <c r="T20" s="303" t="str">
        <f>'2026年1月分析データ表'!H4</f>
        <v>G（売上構成比）</v>
      </c>
      <c r="U20" s="304" t="str">
        <f>'2026年２月分析データ表'!F4</f>
        <v>E（売上）</v>
      </c>
      <c r="V20" s="305" t="str">
        <f>'2026年２月分析データ表'!G4</f>
        <v>F（予約件数）</v>
      </c>
      <c r="W20" s="306" t="str">
        <f>'2026年２月分析データ表'!H4</f>
        <v>G（売上構成比）</v>
      </c>
      <c r="X20" s="307" t="str">
        <f>'2026年3月分析データ表'!F4</f>
        <v>E（売上）</v>
      </c>
      <c r="Y20" s="308" t="str">
        <f>'2026年3月分析データ表'!G4</f>
        <v>F（予約件数）</v>
      </c>
      <c r="Z20" s="336" t="str">
        <f>'2026年3月分析データ表'!H4</f>
        <v>G（売上構成比）</v>
      </c>
      <c r="AA20" s="338" t="s">
        <v>714</v>
      </c>
      <c r="AB20" s="308" t="s">
        <v>715</v>
      </c>
      <c r="AC20" s="309" t="s">
        <v>716</v>
      </c>
      <c r="AD20" s="338"/>
      <c r="AE20" s="308"/>
      <c r="AF20" s="309"/>
      <c r="AG20" s="338"/>
      <c r="AH20" s="308"/>
      <c r="AI20" s="309"/>
      <c r="AJ20" s="338"/>
      <c r="AK20" s="308"/>
      <c r="AL20" s="309"/>
      <c r="AM20" s="338"/>
      <c r="AN20" s="308"/>
      <c r="AO20" s="309"/>
      <c r="AP20" s="347"/>
      <c r="AQ20" s="308"/>
      <c r="AR20" s="353"/>
      <c r="AS20" s="401"/>
    </row>
    <row r="21" spans="6:45" ht="20" thickTop="1">
      <c r="F21" s="323">
        <v>14</v>
      </c>
      <c r="G21" s="431" t="s">
        <v>96</v>
      </c>
      <c r="H21" s="432"/>
      <c r="I21" s="189">
        <f>'2025年10月分析データ表'!F5</f>
        <v>1926460</v>
      </c>
      <c r="J21" s="190">
        <f>'2025年10月分析データ表'!G5</f>
        <v>19</v>
      </c>
      <c r="K21" s="145">
        <f>'2025年10月分析データ表'!H5</f>
        <v>0.2859372219327086</v>
      </c>
      <c r="L21" s="191">
        <f>'2025年11月分析データ表'!F5</f>
        <v>1609290</v>
      </c>
      <c r="M21" s="192">
        <f>'2025年11月分析データ表'!G5</f>
        <v>15</v>
      </c>
      <c r="N21" s="146">
        <f>'2025年11月分析データ表'!H5</f>
        <v>0.22732213482703253</v>
      </c>
      <c r="O21" s="191">
        <f>'2025年12月分析データ表'!F5</f>
        <v>1185190</v>
      </c>
      <c r="P21" s="190">
        <f>'2025年12月分析データ表'!G5</f>
        <v>14</v>
      </c>
      <c r="Q21" s="145">
        <f>'2025年12月分析データ表'!H5</f>
        <v>0.16333516349640528</v>
      </c>
      <c r="R21" s="193">
        <f>'2026年1月分析データ表'!F5</f>
        <v>1254800</v>
      </c>
      <c r="S21" s="192">
        <f>'2026年1月分析データ表'!G5</f>
        <v>10</v>
      </c>
      <c r="T21" s="146">
        <f>'2026年1月分析データ表'!H5</f>
        <v>0.18685749123118953</v>
      </c>
      <c r="U21" s="248">
        <f>'2026年２月分析データ表'!F5</f>
        <v>817650</v>
      </c>
      <c r="V21" s="249">
        <f>'2026年２月分析データ表'!G5</f>
        <v>8</v>
      </c>
      <c r="W21" s="145">
        <f>'2026年２月分析データ表'!H5</f>
        <v>0.15989391640460934</v>
      </c>
      <c r="X21" s="292">
        <f>'2026年3月分析データ表'!F5</f>
        <v>1555150</v>
      </c>
      <c r="Y21" s="257">
        <f>'2026年3月分析データ表'!G5</f>
        <v>9</v>
      </c>
      <c r="Z21" s="339">
        <f>'2026年3月分析データ表'!H5</f>
        <v>0.22069950311213049</v>
      </c>
      <c r="AA21" s="381">
        <v>457128</v>
      </c>
      <c r="AB21" s="384">
        <v>3</v>
      </c>
      <c r="AC21" s="387">
        <v>4.7E-2</v>
      </c>
      <c r="AD21" s="341"/>
      <c r="AE21" s="344"/>
      <c r="AF21" s="352"/>
      <c r="AG21" s="342"/>
      <c r="AH21" s="345"/>
      <c r="AI21" s="294"/>
      <c r="AJ21" s="342"/>
      <c r="AK21" s="345"/>
      <c r="AL21" s="294"/>
      <c r="AM21" s="342"/>
      <c r="AN21" s="345"/>
      <c r="AO21" s="294"/>
      <c r="AP21" s="348"/>
      <c r="AQ21" s="345"/>
      <c r="AR21" s="334"/>
      <c r="AS21" s="402"/>
    </row>
    <row r="22" spans="6:45" ht="19">
      <c r="F22" s="323">
        <v>15</v>
      </c>
      <c r="G22" s="431" t="s">
        <v>119</v>
      </c>
      <c r="H22" s="432"/>
      <c r="I22" s="189">
        <f>'2025年10月分析データ表'!F6</f>
        <v>1263819</v>
      </c>
      <c r="J22" s="190">
        <f>'2025年10月分析データ表'!G6</f>
        <v>10</v>
      </c>
      <c r="K22" s="145">
        <f>'2025年10月分析データ表'!H6</f>
        <v>0.18758390721103674</v>
      </c>
      <c r="L22" s="191">
        <f>'2025年11月分析データ表'!F6</f>
        <v>1415977</v>
      </c>
      <c r="M22" s="192">
        <f>'2025年11月分析データ表'!G6</f>
        <v>20</v>
      </c>
      <c r="N22" s="146">
        <f>'2025年11月分析データ表'!H6</f>
        <v>0.20001548167575581</v>
      </c>
      <c r="O22" s="191">
        <f>'2025年12月分析データ表'!F6</f>
        <v>1210694</v>
      </c>
      <c r="P22" s="190">
        <f>'2025年12月分析データ表'!G6</f>
        <v>14</v>
      </c>
      <c r="Q22" s="145">
        <f>'2025年12月分析データ表'!H6</f>
        <v>0.1668499586008293</v>
      </c>
      <c r="R22" s="193">
        <f>'2026年1月分析データ表'!F6</f>
        <v>707056</v>
      </c>
      <c r="S22" s="192">
        <f>'2026年1月分析データ表'!G6</f>
        <v>10</v>
      </c>
      <c r="T22" s="146">
        <f>'2026年1月分析データ表'!H6</f>
        <v>0.10529065215170541</v>
      </c>
      <c r="U22" s="191">
        <f>'2026年２月分析データ表'!F6</f>
        <v>1891784</v>
      </c>
      <c r="V22" s="190">
        <f>'2026年２月分析データ表'!G6</f>
        <v>17</v>
      </c>
      <c r="W22" s="145">
        <f>'2026年２月分析データ表'!H6</f>
        <v>0.36994405032908639</v>
      </c>
      <c r="X22" s="292">
        <f>'2026年3月分析データ表'!F6</f>
        <v>4271321</v>
      </c>
      <c r="Y22" s="257">
        <f>'2026年3月分析データ表'!G6</f>
        <v>44</v>
      </c>
      <c r="Z22" s="339">
        <f>'2026年3月分析データ表'!H6</f>
        <v>0.60616559324335817</v>
      </c>
      <c r="AA22" s="382">
        <v>7052658</v>
      </c>
      <c r="AB22" s="385">
        <v>47</v>
      </c>
      <c r="AC22" s="388">
        <v>0.72799999999999998</v>
      </c>
      <c r="AD22" s="342"/>
      <c r="AE22" s="345"/>
      <c r="AF22" s="294"/>
      <c r="AG22" s="342"/>
      <c r="AH22" s="345"/>
      <c r="AI22" s="294"/>
      <c r="AJ22" s="342"/>
      <c r="AK22" s="345"/>
      <c r="AL22" s="294"/>
      <c r="AM22" s="342"/>
      <c r="AN22" s="345"/>
      <c r="AO22" s="294"/>
      <c r="AP22" s="348"/>
      <c r="AQ22" s="345"/>
      <c r="AR22" s="334"/>
      <c r="AS22" s="402"/>
    </row>
    <row r="23" spans="6:45" ht="19">
      <c r="F23" s="323">
        <v>16</v>
      </c>
      <c r="G23" s="431" t="s">
        <v>42</v>
      </c>
      <c r="H23" s="432"/>
      <c r="I23" s="189">
        <f>'2025年10月分析データ表'!F7</f>
        <v>1826777</v>
      </c>
      <c r="J23" s="190">
        <f>'2025年10月分析データ表'!G7</f>
        <v>22</v>
      </c>
      <c r="K23" s="145">
        <f>'2025年10月分析データ表'!H7</f>
        <v>0.27114164865637885</v>
      </c>
      <c r="L23" s="191">
        <f>'2025年11月分析データ表'!F7</f>
        <v>1386279</v>
      </c>
      <c r="M23" s="192">
        <f>'2025年11月分析データ表'!G7</f>
        <v>18</v>
      </c>
      <c r="N23" s="146">
        <f>'2025年11月分析データ表'!H7</f>
        <v>0.19582045606813181</v>
      </c>
      <c r="O23" s="191">
        <f>'2025年12月分析データ表'!F7</f>
        <v>2622268</v>
      </c>
      <c r="P23" s="190">
        <f>'2025年12月分析データ表'!G7</f>
        <v>23</v>
      </c>
      <c r="Q23" s="145">
        <f>'2025年12月分析データ表'!H7</f>
        <v>0.36138388993443388</v>
      </c>
      <c r="R23" s="193">
        <f>'2026年1月分析データ表'!F7</f>
        <v>2614816</v>
      </c>
      <c r="S23" s="192">
        <f>'2026年1月分析データ表'!G7</f>
        <v>18</v>
      </c>
      <c r="T23" s="146">
        <f>'2026年1月分析データ表'!H7</f>
        <v>0.38938313499456018</v>
      </c>
      <c r="U23" s="191">
        <f>'2026年２月分析データ表'!F7</f>
        <v>1213149</v>
      </c>
      <c r="V23" s="190">
        <f>'2026年２月分析データ表'!G7</f>
        <v>11</v>
      </c>
      <c r="W23" s="145">
        <f>'2026年２月分析データ表'!H7</f>
        <v>0.23723493523186623</v>
      </c>
      <c r="X23" s="292">
        <f>'2026年3月分析データ表'!F7</f>
        <v>61506</v>
      </c>
      <c r="Y23" s="257">
        <f>'2026年3月分析データ表'!G7</f>
        <v>1</v>
      </c>
      <c r="Z23" s="339">
        <f>'2026年3月分析データ表'!H7</f>
        <v>8.7286394485513938E-3</v>
      </c>
      <c r="AA23" s="382">
        <v>663830</v>
      </c>
      <c r="AB23" s="385">
        <v>3</v>
      </c>
      <c r="AC23" s="388">
        <v>6.9000000000000006E-2</v>
      </c>
      <c r="AD23" s="342" t="s">
        <v>717</v>
      </c>
      <c r="AE23" s="345"/>
      <c r="AF23" s="294"/>
      <c r="AG23" s="342"/>
      <c r="AH23" s="345"/>
      <c r="AI23" s="294"/>
      <c r="AJ23" s="342"/>
      <c r="AK23" s="345"/>
      <c r="AL23" s="294"/>
      <c r="AM23" s="342"/>
      <c r="AN23" s="345"/>
      <c r="AO23" s="294"/>
      <c r="AP23" s="348"/>
      <c r="AQ23" s="345"/>
      <c r="AR23" s="334"/>
      <c r="AS23" s="402"/>
    </row>
    <row r="24" spans="6:45" ht="19">
      <c r="F24" s="323">
        <v>17</v>
      </c>
      <c r="G24" s="431" t="s">
        <v>505</v>
      </c>
      <c r="H24" s="432"/>
      <c r="I24" s="189">
        <f>'2025年10月分析データ表'!F8</f>
        <v>234387</v>
      </c>
      <c r="J24" s="190">
        <f>'2025年10月分析データ表'!G8</f>
        <v>3</v>
      </c>
      <c r="K24" s="145">
        <f>'2025年10月分析データ表'!H8</f>
        <v>3.4789182042264964E-2</v>
      </c>
      <c r="L24" s="191">
        <f>'2025年11月分析データ表'!F8</f>
        <v>1364207</v>
      </c>
      <c r="M24" s="192">
        <f>'2025年11月分析データ表'!G8</f>
        <v>8</v>
      </c>
      <c r="N24" s="146">
        <f>'2025年11月分析データ表'!H8</f>
        <v>0.19270264997979331</v>
      </c>
      <c r="O24" s="191">
        <f>'2025年12月分析データ表'!F8</f>
        <v>814710</v>
      </c>
      <c r="P24" s="190">
        <f>'2025年12月分析データ表'!G8</f>
        <v>8</v>
      </c>
      <c r="Q24" s="145">
        <f>'2025年12月分析データ表'!H8</f>
        <v>0.11227802382078514</v>
      </c>
      <c r="R24" s="193">
        <f>'2026年1月分析データ表'!F8</f>
        <v>759373</v>
      </c>
      <c r="S24" s="192">
        <f>'2026年1月分析データ表'!G8</f>
        <v>11</v>
      </c>
      <c r="T24" s="146">
        <f>'2026年1月分析データ表'!H8</f>
        <v>0.1130813943964792</v>
      </c>
      <c r="U24" s="191">
        <f>'2026年２月分析データ表'!F8</f>
        <v>835699</v>
      </c>
      <c r="V24" s="190">
        <f>'2026年２月分析データ表'!G8</f>
        <v>11</v>
      </c>
      <c r="W24" s="145">
        <f>'2026年２月分析データ表'!H8</f>
        <v>0.1634234526330528</v>
      </c>
      <c r="X24" s="292">
        <f>'2026年3月分析データ表'!F8</f>
        <v>799072</v>
      </c>
      <c r="Y24" s="257">
        <f>'2026年3月分析データ表'!G8</f>
        <v>7</v>
      </c>
      <c r="Z24" s="339">
        <f>'2026年3月分析データ表'!H8</f>
        <v>0.11340050371399309</v>
      </c>
      <c r="AA24" s="382">
        <v>724630</v>
      </c>
      <c r="AB24" s="385">
        <v>4</v>
      </c>
      <c r="AC24" s="388">
        <v>7.4999999999999997E-2</v>
      </c>
      <c r="AD24" s="342"/>
      <c r="AE24" s="345"/>
      <c r="AF24" s="294"/>
      <c r="AG24" s="342"/>
      <c r="AH24" s="345"/>
      <c r="AI24" s="294"/>
      <c r="AJ24" s="342"/>
      <c r="AK24" s="345"/>
      <c r="AL24" s="294"/>
      <c r="AM24" s="342"/>
      <c r="AN24" s="345"/>
      <c r="AO24" s="294"/>
      <c r="AP24" s="348"/>
      <c r="AQ24" s="345"/>
      <c r="AR24" s="334"/>
      <c r="AS24" s="402"/>
    </row>
    <row r="25" spans="6:45" ht="19">
      <c r="F25" s="323">
        <v>18</v>
      </c>
      <c r="G25" s="431" t="s">
        <v>136</v>
      </c>
      <c r="H25" s="432"/>
      <c r="I25" s="189">
        <f>'2025年10月分析データ表'!F9</f>
        <v>1485910</v>
      </c>
      <c r="J25" s="190">
        <f>'2025年10月分析データ表'!G9</f>
        <v>19</v>
      </c>
      <c r="K25" s="145">
        <f>'2025年10月分析データ表'!H9</f>
        <v>0.22054804015761087</v>
      </c>
      <c r="L25" s="191">
        <f>'2025年11月分析データ表'!F9</f>
        <v>1189320</v>
      </c>
      <c r="M25" s="192">
        <f>'2025年11月分析データ表'!G9</f>
        <v>16</v>
      </c>
      <c r="N25" s="146">
        <f>'2025年11月分析データ表'!H9</f>
        <v>0.16799878293687673</v>
      </c>
      <c r="O25" s="191">
        <f>'2025年12月分析データ表'!F9</f>
        <v>426790</v>
      </c>
      <c r="P25" s="190">
        <f>'2025年12月分析データ表'!G9</f>
        <v>5</v>
      </c>
      <c r="Q25" s="145">
        <f>'2025年12月分析データ表'!H9</f>
        <v>5.8817416978400767E-2</v>
      </c>
      <c r="R25" s="193">
        <f>'2026年1月分析データ表'!F9</f>
        <v>501860</v>
      </c>
      <c r="S25" s="192">
        <f>'2026年1月分析データ表'!G9</f>
        <v>3</v>
      </c>
      <c r="T25" s="146">
        <f>'2026年1月分析データ表'!H9</f>
        <v>7.4734061642719785E-2</v>
      </c>
      <c r="U25" s="191">
        <f>'2026年２月分析データ表'!F9</f>
        <v>0</v>
      </c>
      <c r="V25" s="190">
        <f>'2026年２月分析データ表'!G9</f>
        <v>0</v>
      </c>
      <c r="W25" s="145">
        <f>'2026年２月分析データ表'!H9</f>
        <v>0</v>
      </c>
      <c r="X25" s="292">
        <f>'2026年3月分析データ表'!F9</f>
        <v>20850</v>
      </c>
      <c r="Y25" s="257">
        <f>'2026年3月分析データ表'!G9</f>
        <v>1</v>
      </c>
      <c r="Z25" s="339">
        <f>'2026年3月分析データ表'!H9</f>
        <v>2.9589329903147096E-3</v>
      </c>
      <c r="AA25" s="382">
        <v>648680</v>
      </c>
      <c r="AB25" s="385">
        <v>2</v>
      </c>
      <c r="AC25" s="388">
        <v>6.7000000000000004E-2</v>
      </c>
      <c r="AD25" s="342"/>
      <c r="AE25" s="345"/>
      <c r="AF25" s="294"/>
      <c r="AG25" s="342"/>
      <c r="AH25" s="345"/>
      <c r="AI25" s="294"/>
      <c r="AJ25" s="342"/>
      <c r="AK25" s="345"/>
      <c r="AL25" s="294"/>
      <c r="AM25" s="342"/>
      <c r="AN25" s="345"/>
      <c r="AO25" s="294"/>
      <c r="AP25" s="348"/>
      <c r="AQ25" s="345"/>
      <c r="AR25" s="334"/>
      <c r="AS25" s="402"/>
    </row>
    <row r="26" spans="6:45" ht="19">
      <c r="F26" s="323">
        <v>19</v>
      </c>
      <c r="G26" s="431" t="s">
        <v>479</v>
      </c>
      <c r="H26" s="432"/>
      <c r="I26" s="189">
        <f>'2025年10月分析データ表'!F10</f>
        <v>0</v>
      </c>
      <c r="J26" s="190">
        <f>'2025年10月分析データ表'!G10</f>
        <v>0</v>
      </c>
      <c r="K26" s="145">
        <f>'2025年10月分析データ表'!H10</f>
        <v>0</v>
      </c>
      <c r="L26" s="191">
        <f>'2025年11月分析データ表'!F10</f>
        <v>0</v>
      </c>
      <c r="M26" s="192">
        <f>'2025年11月分析データ表'!G10</f>
        <v>0</v>
      </c>
      <c r="N26" s="146">
        <f>'2025年11月分析データ表'!H10</f>
        <v>0</v>
      </c>
      <c r="O26" s="191">
        <f>'2025年12月分析データ表'!F10</f>
        <v>60082</v>
      </c>
      <c r="P26" s="190">
        <f>'2025年12月分析データ表'!G10</f>
        <v>2</v>
      </c>
      <c r="Q26" s="145">
        <f>'2025年12月分析データ表'!H10</f>
        <v>8.2801097656840014E-3</v>
      </c>
      <c r="R26" s="193">
        <f>'2026年1月分析データ表'!F10</f>
        <v>79300</v>
      </c>
      <c r="S26" s="192">
        <f>'2026年1月分析データ表'!G10</f>
        <v>2</v>
      </c>
      <c r="T26" s="146">
        <f>'2026年1月分析データ表'!H10</f>
        <v>1.1808893094224841E-2</v>
      </c>
      <c r="U26" s="191">
        <f>'2026年２月分析データ表'!F10</f>
        <v>0</v>
      </c>
      <c r="V26" s="190">
        <f>'2026年２月分析データ表'!G10</f>
        <v>0</v>
      </c>
      <c r="W26" s="145">
        <f>'2026年２月分析データ表'!H10</f>
        <v>0</v>
      </c>
      <c r="X26" s="292">
        <f>'2026年3月分析データ表'!F10</f>
        <v>146400</v>
      </c>
      <c r="Y26" s="257">
        <f>'2026年3月分析データ表'!G10</f>
        <v>1</v>
      </c>
      <c r="Z26" s="339">
        <f>'2026年3月分析データ表'!H10</f>
        <v>2.0776392795303286E-2</v>
      </c>
      <c r="AA26" s="382">
        <v>55600</v>
      </c>
      <c r="AB26" s="385">
        <v>1</v>
      </c>
      <c r="AC26" s="388">
        <v>6.0000000000000001E-3</v>
      </c>
      <c r="AD26" s="342"/>
      <c r="AE26" s="345"/>
      <c r="AF26" s="294"/>
      <c r="AG26" s="342"/>
      <c r="AH26" s="345"/>
      <c r="AI26" s="294"/>
      <c r="AJ26" s="342"/>
      <c r="AK26" s="345"/>
      <c r="AL26" s="294"/>
      <c r="AM26" s="342"/>
      <c r="AN26" s="345"/>
      <c r="AO26" s="294"/>
      <c r="AP26" s="348"/>
      <c r="AQ26" s="345"/>
      <c r="AR26" s="334"/>
      <c r="AS26" s="402"/>
    </row>
    <row r="27" spans="6:45" ht="19">
      <c r="F27" s="323">
        <v>20</v>
      </c>
      <c r="G27" s="431" t="s">
        <v>239</v>
      </c>
      <c r="H27" s="432"/>
      <c r="I27" s="189">
        <f>'2025年10月分析データ表'!F11</f>
        <v>0</v>
      </c>
      <c r="J27" s="190">
        <f>'2025年10月分析データ表'!G11</f>
        <v>0</v>
      </c>
      <c r="K27" s="145">
        <f>'2025年10月分析データ表'!H11</f>
        <v>0</v>
      </c>
      <c r="L27" s="191">
        <f>'2025年11月分析データ表'!F11</f>
        <v>114264</v>
      </c>
      <c r="M27" s="192">
        <f>'2025年11月分析データ表'!G11</f>
        <v>6</v>
      </c>
      <c r="N27" s="146">
        <f>'2025年11月分析データ表'!H11</f>
        <v>1.6140494512409849E-2</v>
      </c>
      <c r="O27" s="191">
        <f>'2025年12月分析データ表'!F11</f>
        <v>107450</v>
      </c>
      <c r="P27" s="190">
        <f>'2025年12月分析データ表'!G11</f>
        <v>7</v>
      </c>
      <c r="Q27" s="145">
        <f>'2025年12月分析データ表'!H11</f>
        <v>1.4808058891560633E-2</v>
      </c>
      <c r="R27" s="193">
        <f>'2026年1月分析データ表'!F11</f>
        <v>333073</v>
      </c>
      <c r="S27" s="192">
        <f>'2026年1月分析データ表'!G11</f>
        <v>9</v>
      </c>
      <c r="T27" s="146">
        <f>'2026年1月分析データ表'!H11</f>
        <v>4.9599286879858137E-2</v>
      </c>
      <c r="U27" s="191">
        <f>'2026年２月分析データ表'!F11</f>
        <v>113933</v>
      </c>
      <c r="V27" s="190">
        <f>'2026年２月分析データ表'!G11</f>
        <v>4</v>
      </c>
      <c r="W27" s="145">
        <f>'2026年２月分析データ表'!H11</f>
        <v>2.2279940778727275E-2</v>
      </c>
      <c r="X27" s="292">
        <f>'2026年3月分析データ表'!F11</f>
        <v>192160</v>
      </c>
      <c r="Y27" s="257">
        <f>'2026年3月分析データ表'!G11</f>
        <v>1</v>
      </c>
      <c r="Z27" s="339">
        <f>'2026年3月分析データ表'!H11</f>
        <v>2.7270434696348905E-2</v>
      </c>
      <c r="AA27" s="382">
        <v>0</v>
      </c>
      <c r="AB27" s="385">
        <v>0</v>
      </c>
      <c r="AC27" s="388">
        <v>0</v>
      </c>
      <c r="AD27" s="342"/>
      <c r="AE27" s="345"/>
      <c r="AF27" s="294"/>
      <c r="AG27" s="342"/>
      <c r="AH27" s="345"/>
      <c r="AI27" s="294"/>
      <c r="AJ27" s="342"/>
      <c r="AK27" s="345"/>
      <c r="AL27" s="294"/>
      <c r="AM27" s="342"/>
      <c r="AN27" s="345"/>
      <c r="AO27" s="294"/>
      <c r="AP27" s="348"/>
      <c r="AQ27" s="345"/>
      <c r="AR27" s="334"/>
      <c r="AS27" s="402"/>
    </row>
    <row r="28" spans="6:45" ht="19">
      <c r="F28" s="323">
        <v>21</v>
      </c>
      <c r="G28" s="431" t="s">
        <v>482</v>
      </c>
      <c r="H28" s="432"/>
      <c r="I28" s="189">
        <f>'2025年10月分析データ表'!F12</f>
        <v>0</v>
      </c>
      <c r="J28" s="190">
        <f>'2025年10月分析データ表'!G12</f>
        <v>0</v>
      </c>
      <c r="K28" s="145">
        <f>'2025年10月分析データ表'!H12</f>
        <v>0</v>
      </c>
      <c r="L28" s="191">
        <f>'2025年11月分析データ表'!F12</f>
        <v>0</v>
      </c>
      <c r="M28" s="192">
        <f>'2025年11月分析データ表'!G12</f>
        <v>0</v>
      </c>
      <c r="N28" s="146">
        <f>'2025年11月分析データ表'!H12</f>
        <v>0</v>
      </c>
      <c r="O28" s="191">
        <f>'2025年12月分析データ表'!F12</f>
        <v>829000</v>
      </c>
      <c r="P28" s="190">
        <f>'2025年12月分析データ表'!G12</f>
        <v>11</v>
      </c>
      <c r="Q28" s="145">
        <f>'2025年12月分析データ表'!H12</f>
        <v>0.11424737851190102</v>
      </c>
      <c r="R28" s="193">
        <f>'2026年1月分析データ表'!F12</f>
        <v>465000</v>
      </c>
      <c r="S28" s="192">
        <f>'2026年1月分析データ表'!G12</f>
        <v>5</v>
      </c>
      <c r="T28" s="146">
        <f>'2026年1月分析データ表'!H12</f>
        <v>6.9245085609262944E-2</v>
      </c>
      <c r="U28" s="191">
        <f>'2026年２月分析データ表'!F12</f>
        <v>241488</v>
      </c>
      <c r="V28" s="190">
        <f>'2026年２月分析データ表'!G12</f>
        <v>4</v>
      </c>
      <c r="W28" s="145">
        <f>'2026年２月分析データ表'!H12</f>
        <v>4.7223704622657986E-2</v>
      </c>
      <c r="X28" s="292">
        <f>'2026年3月分析データ表'!F12</f>
        <v>0</v>
      </c>
      <c r="Y28" s="257">
        <f>'2026年3月分析データ表'!G12</f>
        <v>0</v>
      </c>
      <c r="Z28" s="339">
        <f>'2026年3月分析データ表'!H12</f>
        <v>0</v>
      </c>
      <c r="AA28" s="382">
        <v>80000</v>
      </c>
      <c r="AB28" s="385">
        <v>2</v>
      </c>
      <c r="AC28" s="388">
        <v>8.0000000000000002E-3</v>
      </c>
      <c r="AD28" s="342"/>
      <c r="AE28" s="345"/>
      <c r="AF28" s="294"/>
      <c r="AG28" s="342"/>
      <c r="AH28" s="345"/>
      <c r="AI28" s="294"/>
      <c r="AJ28" s="342"/>
      <c r="AK28" s="345"/>
      <c r="AL28" s="294"/>
      <c r="AM28" s="342"/>
      <c r="AN28" s="345"/>
      <c r="AO28" s="294"/>
      <c r="AP28" s="348"/>
      <c r="AQ28" s="345"/>
      <c r="AR28" s="334"/>
      <c r="AS28" s="402"/>
    </row>
    <row r="29" spans="6:45" ht="20" thickBot="1">
      <c r="F29" s="325">
        <v>22</v>
      </c>
      <c r="G29" s="433" t="s">
        <v>160</v>
      </c>
      <c r="H29" s="434"/>
      <c r="I29" s="253">
        <f>'2025年10月分析データ表'!F13</f>
        <v>6737353</v>
      </c>
      <c r="J29" s="251">
        <f>'2025年10月分析データ表'!G13</f>
        <v>73</v>
      </c>
      <c r="K29" s="252">
        <f>'2025年10月分析データ表'!H13</f>
        <v>1</v>
      </c>
      <c r="L29" s="250">
        <f>'2025年11月分析データ表'!F13</f>
        <v>7079337</v>
      </c>
      <c r="M29" s="254">
        <f>'2025年11月分析データ表'!G13</f>
        <v>83</v>
      </c>
      <c r="N29" s="255">
        <f>'2025年11月分析データ表'!H13</f>
        <v>1</v>
      </c>
      <c r="O29" s="250">
        <f>'2025年12月分析データ表'!F13</f>
        <v>7256184</v>
      </c>
      <c r="P29" s="251">
        <f>'2025年12月分析データ表'!G13</f>
        <v>84</v>
      </c>
      <c r="Q29" s="252">
        <f>'2025年12月分析データ表'!H13</f>
        <v>1</v>
      </c>
      <c r="R29" s="256">
        <f>'2026年1月分析データ表'!F13</f>
        <v>6715278</v>
      </c>
      <c r="S29" s="254">
        <f>'2026年1月分析データ表'!G13</f>
        <v>68</v>
      </c>
      <c r="T29" s="255">
        <f>'2026年1月分析データ表'!H13</f>
        <v>1</v>
      </c>
      <c r="U29" s="250">
        <f>'2026年２月分析データ表'!F13</f>
        <v>5113703</v>
      </c>
      <c r="V29" s="251">
        <f>'2026年２月分析データ表'!G13</f>
        <v>55</v>
      </c>
      <c r="W29" s="252">
        <f>'2026年２月分析データ表'!H13</f>
        <v>1</v>
      </c>
      <c r="X29" s="293">
        <f>'2026年3月分析データ表'!F13</f>
        <v>7046459</v>
      </c>
      <c r="Y29" s="258">
        <f>'2026年3月分析データ表'!G13</f>
        <v>64</v>
      </c>
      <c r="Z29" s="340">
        <f>'2026年3月分析データ表'!H13</f>
        <v>1</v>
      </c>
      <c r="AA29" s="383">
        <f>SUM(AA21:AA28)</f>
        <v>9682526</v>
      </c>
      <c r="AB29" s="386">
        <f>SUM(AB21:AB28)</f>
        <v>62</v>
      </c>
      <c r="AC29" s="379">
        <f>SUM(AC21:AC28)</f>
        <v>1</v>
      </c>
      <c r="AD29" s="343"/>
      <c r="AE29" s="346"/>
      <c r="AF29" s="295"/>
      <c r="AG29" s="343"/>
      <c r="AH29" s="346"/>
      <c r="AI29" s="295"/>
      <c r="AJ29" s="343"/>
      <c r="AK29" s="346"/>
      <c r="AL29" s="295"/>
      <c r="AM29" s="343"/>
      <c r="AN29" s="346"/>
      <c r="AO29" s="295"/>
      <c r="AP29" s="349"/>
      <c r="AQ29" s="346"/>
      <c r="AR29" s="335"/>
      <c r="AS29" s="403"/>
    </row>
    <row r="30" spans="6:45">
      <c r="G30" s="260"/>
      <c r="H30" s="143"/>
      <c r="L30" s="134"/>
      <c r="N30" s="136"/>
      <c r="AA30" s="380"/>
      <c r="AB30" s="380"/>
      <c r="AC30" s="380"/>
    </row>
    <row r="31" spans="6:45">
      <c r="G31" s="260"/>
      <c r="H31" s="143"/>
      <c r="L31" s="134"/>
      <c r="N31" s="136"/>
    </row>
    <row r="32" spans="6:45">
      <c r="G32" s="260"/>
      <c r="H32" s="143"/>
      <c r="L32" s="134"/>
      <c r="N32" s="136"/>
    </row>
  </sheetData>
  <mergeCells count="207">
    <mergeCell ref="AP19:AR19"/>
    <mergeCell ref="AA3:AC3"/>
    <mergeCell ref="AD3:AF3"/>
    <mergeCell ref="AM19:AO19"/>
    <mergeCell ref="AP4:AR4"/>
    <mergeCell ref="AP5:AR5"/>
    <mergeCell ref="AP6:AR6"/>
    <mergeCell ref="AP7:AR7"/>
    <mergeCell ref="AP8:AR8"/>
    <mergeCell ref="AP9:AR9"/>
    <mergeCell ref="AP10:AR10"/>
    <mergeCell ref="AP11:AR11"/>
    <mergeCell ref="AP12:AR12"/>
    <mergeCell ref="AP13:AR13"/>
    <mergeCell ref="AP14:AR14"/>
    <mergeCell ref="AP15:AR15"/>
    <mergeCell ref="AP16:AR16"/>
    <mergeCell ref="AP17:AR17"/>
    <mergeCell ref="AP18:AR18"/>
    <mergeCell ref="AM11:AO11"/>
    <mergeCell ref="AM12:AO12"/>
    <mergeCell ref="AM13:AO13"/>
    <mergeCell ref="AM14:AO14"/>
    <mergeCell ref="AM15:AO15"/>
    <mergeCell ref="AA15:AC15"/>
    <mergeCell ref="AA16:AC16"/>
    <mergeCell ref="AA17:AC17"/>
    <mergeCell ref="AA8:AC8"/>
    <mergeCell ref="AA9:AC9"/>
    <mergeCell ref="AA10:AC10"/>
    <mergeCell ref="AA11:AC11"/>
    <mergeCell ref="AA12:AC12"/>
    <mergeCell ref="AM6:AO6"/>
    <mergeCell ref="AM7:AO7"/>
    <mergeCell ref="AM8:AO8"/>
    <mergeCell ref="AM9:AO9"/>
    <mergeCell ref="AM10:AO10"/>
    <mergeCell ref="AD13:AF13"/>
    <mergeCell ref="AD14:AF14"/>
    <mergeCell ref="AD15:AF15"/>
    <mergeCell ref="AD16:AF16"/>
    <mergeCell ref="AJ12:AL12"/>
    <mergeCell ref="AJ13:AL13"/>
    <mergeCell ref="AJ14:AL14"/>
    <mergeCell ref="AJ15:AL15"/>
    <mergeCell ref="AG15:AI15"/>
    <mergeCell ref="AG16:AI16"/>
    <mergeCell ref="AA4:AC4"/>
    <mergeCell ref="AD4:AF4"/>
    <mergeCell ref="AA5:AC5"/>
    <mergeCell ref="AA6:AC6"/>
    <mergeCell ref="AA7:AC7"/>
    <mergeCell ref="AD5:AF5"/>
    <mergeCell ref="AD6:AF6"/>
    <mergeCell ref="AD7:AF7"/>
    <mergeCell ref="AJ11:AL11"/>
    <mergeCell ref="AJ6:AL6"/>
    <mergeCell ref="AJ7:AL7"/>
    <mergeCell ref="AJ8:AL8"/>
    <mergeCell ref="AJ9:AL9"/>
    <mergeCell ref="AJ10:AL10"/>
    <mergeCell ref="AD8:AF8"/>
    <mergeCell ref="AD9:AF9"/>
    <mergeCell ref="AD10:AF10"/>
    <mergeCell ref="AD11:AF11"/>
    <mergeCell ref="AJ3:AL3"/>
    <mergeCell ref="AM3:AO3"/>
    <mergeCell ref="AP3:AR3"/>
    <mergeCell ref="AJ4:AL4"/>
    <mergeCell ref="AJ5:AL5"/>
    <mergeCell ref="AM4:AO4"/>
    <mergeCell ref="AM5:AO5"/>
    <mergeCell ref="AG13:AI13"/>
    <mergeCell ref="AG14:AI14"/>
    <mergeCell ref="AG8:AI8"/>
    <mergeCell ref="AG9:AI9"/>
    <mergeCell ref="AG10:AI10"/>
    <mergeCell ref="AG11:AI11"/>
    <mergeCell ref="AG12:AI12"/>
    <mergeCell ref="AG3:AI3"/>
    <mergeCell ref="AG4:AI4"/>
    <mergeCell ref="AG5:AI5"/>
    <mergeCell ref="AG6:AI6"/>
    <mergeCell ref="AG7:AI7"/>
    <mergeCell ref="O5:Q5"/>
    <mergeCell ref="O6:Q6"/>
    <mergeCell ref="R5:T5"/>
    <mergeCell ref="R6:T6"/>
    <mergeCell ref="U5:W5"/>
    <mergeCell ref="U6:W6"/>
    <mergeCell ref="U17:W17"/>
    <mergeCell ref="U18:W18"/>
    <mergeCell ref="R15:T15"/>
    <mergeCell ref="R16:T16"/>
    <mergeCell ref="R17:T17"/>
    <mergeCell ref="R18:T18"/>
    <mergeCell ref="U15:W15"/>
    <mergeCell ref="U16:W16"/>
    <mergeCell ref="U14:W14"/>
    <mergeCell ref="R10:T10"/>
    <mergeCell ref="R11:T11"/>
    <mergeCell ref="R12:T12"/>
    <mergeCell ref="R13:T13"/>
    <mergeCell ref="R14:T14"/>
    <mergeCell ref="O17:Q17"/>
    <mergeCell ref="O18:Q18"/>
    <mergeCell ref="U3:W3"/>
    <mergeCell ref="U4:W4"/>
    <mergeCell ref="U7:W7"/>
    <mergeCell ref="U8:W8"/>
    <mergeCell ref="U9:W9"/>
    <mergeCell ref="U10:W10"/>
    <mergeCell ref="U11:W11"/>
    <mergeCell ref="U12:W12"/>
    <mergeCell ref="U13:W13"/>
    <mergeCell ref="R3:T3"/>
    <mergeCell ref="R4:T4"/>
    <mergeCell ref="R7:T7"/>
    <mergeCell ref="R8:T8"/>
    <mergeCell ref="R9:T9"/>
    <mergeCell ref="I9:K9"/>
    <mergeCell ref="L9:N9"/>
    <mergeCell ref="G28:H28"/>
    <mergeCell ref="G29:H29"/>
    <mergeCell ref="G20:H20"/>
    <mergeCell ref="G21:H21"/>
    <mergeCell ref="G22:H22"/>
    <mergeCell ref="G23:H23"/>
    <mergeCell ref="G24:H24"/>
    <mergeCell ref="G25:H25"/>
    <mergeCell ref="G26:H26"/>
    <mergeCell ref="G27:H27"/>
    <mergeCell ref="L18:N18"/>
    <mergeCell ref="I10:K10"/>
    <mergeCell ref="L10:N10"/>
    <mergeCell ref="L11:N11"/>
    <mergeCell ref="L3:N3"/>
    <mergeCell ref="L4:N4"/>
    <mergeCell ref="L7:N7"/>
    <mergeCell ref="I16:K16"/>
    <mergeCell ref="I17:K17"/>
    <mergeCell ref="L8:N8"/>
    <mergeCell ref="I3:K3"/>
    <mergeCell ref="I4:K4"/>
    <mergeCell ref="I7:K7"/>
    <mergeCell ref="I8:K8"/>
    <mergeCell ref="I5:K5"/>
    <mergeCell ref="I6:K6"/>
    <mergeCell ref="L5:N5"/>
    <mergeCell ref="L6:N6"/>
    <mergeCell ref="I18:K18"/>
    <mergeCell ref="O3:Q3"/>
    <mergeCell ref="O4:Q4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I11:K11"/>
    <mergeCell ref="I12:K12"/>
    <mergeCell ref="I13:K13"/>
    <mergeCell ref="I14:K14"/>
    <mergeCell ref="I15:K15"/>
    <mergeCell ref="L15:N15"/>
    <mergeCell ref="L16:N16"/>
    <mergeCell ref="L17:N17"/>
    <mergeCell ref="L13:N13"/>
    <mergeCell ref="L14:N14"/>
    <mergeCell ref="L12:N12"/>
    <mergeCell ref="X3:Z3"/>
    <mergeCell ref="X4:Z4"/>
    <mergeCell ref="X7:Z7"/>
    <mergeCell ref="X8:Z8"/>
    <mergeCell ref="X9:Z9"/>
    <mergeCell ref="X5:Z5"/>
    <mergeCell ref="X6:Z6"/>
    <mergeCell ref="X10:Z10"/>
    <mergeCell ref="X11:Z11"/>
    <mergeCell ref="X12:Z12"/>
    <mergeCell ref="X13:Z13"/>
    <mergeCell ref="X14:Z14"/>
    <mergeCell ref="X15:Z15"/>
    <mergeCell ref="X16:Z16"/>
    <mergeCell ref="X17:Z17"/>
    <mergeCell ref="X18:Z18"/>
    <mergeCell ref="AS20:AS29"/>
    <mergeCell ref="AG18:AI18"/>
    <mergeCell ref="AG19:AI19"/>
    <mergeCell ref="AJ16:AL16"/>
    <mergeCell ref="AJ17:AL17"/>
    <mergeCell ref="AJ18:AL18"/>
    <mergeCell ref="AA18:AC18"/>
    <mergeCell ref="AD18:AF18"/>
    <mergeCell ref="AM16:AO16"/>
    <mergeCell ref="AM17:AO17"/>
    <mergeCell ref="AM18:AO18"/>
    <mergeCell ref="AJ19:AL19"/>
    <mergeCell ref="AG17:AI17"/>
    <mergeCell ref="AD17:AF17"/>
    <mergeCell ref="AD12:AF12"/>
    <mergeCell ref="AA13:AC13"/>
    <mergeCell ref="AA14:AC14"/>
  </mergeCells>
  <phoneticPr fontId="1"/>
  <pageMargins left="0.7" right="0.7" top="0.75" bottom="0.75" header="0.3" footer="0.3"/>
  <pageSetup paperSize="9" scale="3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75A5-FA7F-0B4C-8866-99F37311AB49}">
  <sheetPr>
    <tabColor theme="5" tint="0.59999389629810485"/>
  </sheetPr>
  <dimension ref="A1:X64"/>
  <sheetViews>
    <sheetView topLeftCell="G1" zoomScale="125" workbookViewId="0">
      <selection activeCell="T25" sqref="T25"/>
    </sheetView>
  </sheetViews>
  <sheetFormatPr baseColWidth="10" defaultColWidth="8.83203125" defaultRowHeight="20" customHeight="1"/>
  <cols>
    <col min="1" max="1" width="4.83203125" style="361" customWidth="1"/>
    <col min="2" max="2" width="17.5" style="361" customWidth="1"/>
    <col min="3" max="5" width="11.6640625" style="361" customWidth="1"/>
    <col min="6" max="6" width="5" style="361" customWidth="1"/>
    <col min="7" max="7" width="10.6640625" style="361" customWidth="1"/>
    <col min="8" max="8" width="15" style="361" customWidth="1"/>
    <col min="9" max="9" width="4.6640625" style="361" customWidth="1"/>
    <col min="10" max="10" width="18" style="361" customWidth="1"/>
    <col min="11" max="11" width="10.1640625" style="361" customWidth="1"/>
    <col min="12" max="12" width="4.83203125" style="361" customWidth="1"/>
    <col min="13" max="13" width="4.5" style="361" customWidth="1"/>
    <col min="14" max="14" width="9.83203125" style="361" customWidth="1"/>
    <col min="15" max="15" width="9.83203125" style="361" hidden="1" customWidth="1"/>
    <col min="16" max="16" width="11" style="361" hidden="1" customWidth="1"/>
    <col min="17" max="17" width="10.83203125" style="361" customWidth="1"/>
    <col min="18" max="18" width="12.5" style="361" customWidth="1"/>
    <col min="19" max="19" width="11.33203125" style="361" customWidth="1"/>
    <col min="20" max="20" width="10.5" style="362" customWidth="1"/>
    <col min="21" max="21" width="10.5" style="361" hidden="1" customWidth="1"/>
    <col min="22" max="22" width="9.33203125" style="361" customWidth="1"/>
    <col min="23" max="23" width="8.83203125" style="361"/>
    <col min="24" max="24" width="7.83203125" style="361" customWidth="1"/>
    <col min="25" max="16384" width="8.83203125" style="361"/>
  </cols>
  <sheetData>
    <row r="1" spans="1:24" ht="15">
      <c r="A1" s="367">
        <f>SUM(A3:A67)</f>
        <v>62</v>
      </c>
      <c r="F1" s="363">
        <f>SUM(F3:F67)</f>
        <v>239</v>
      </c>
      <c r="I1" s="367">
        <f>SUM(I3:I64)</f>
        <v>65</v>
      </c>
      <c r="L1" s="367">
        <f t="shared" ref="L1:Q1" si="0">SUM(L3:L67)</f>
        <v>143</v>
      </c>
      <c r="M1" s="367">
        <f t="shared" si="0"/>
        <v>22</v>
      </c>
      <c r="N1" s="368">
        <f t="shared" si="0"/>
        <v>9682526</v>
      </c>
      <c r="O1" s="369">
        <f t="shared" si="0"/>
        <v>1259171</v>
      </c>
      <c r="P1" s="369">
        <f t="shared" si="0"/>
        <v>7986574</v>
      </c>
      <c r="Q1" s="368">
        <f t="shared" si="0"/>
        <v>1281972</v>
      </c>
      <c r="R1" s="368">
        <f>SUM(R3:R64)</f>
        <v>162210</v>
      </c>
      <c r="S1" s="368">
        <f>SUM(S3:S64)</f>
        <v>8238344</v>
      </c>
      <c r="T1" s="365">
        <f>SUM(T3:T64)</f>
        <v>8238344</v>
      </c>
      <c r="U1" s="368"/>
      <c r="V1" s="368">
        <f>SUM(V3:V64)</f>
        <v>0</v>
      </c>
      <c r="X1" s="367">
        <f>SUM(X3:X64)</f>
        <v>648</v>
      </c>
    </row>
    <row r="2" spans="1:24" ht="30">
      <c r="A2" s="366"/>
      <c r="B2" s="366" t="s">
        <v>711</v>
      </c>
      <c r="C2" s="366" t="s">
        <v>23</v>
      </c>
      <c r="D2" s="366" t="s">
        <v>24</v>
      </c>
      <c r="E2" s="366" t="s">
        <v>710</v>
      </c>
      <c r="F2" s="366" t="s">
        <v>26</v>
      </c>
      <c r="G2" s="366" t="s">
        <v>709</v>
      </c>
      <c r="H2" s="366" t="s">
        <v>28</v>
      </c>
      <c r="I2" s="366" t="s">
        <v>29</v>
      </c>
      <c r="J2" s="366" t="s">
        <v>708</v>
      </c>
      <c r="K2" s="366" t="s">
        <v>403</v>
      </c>
      <c r="L2" s="366" t="s">
        <v>707</v>
      </c>
      <c r="M2" s="366" t="s">
        <v>706</v>
      </c>
      <c r="N2" s="366" t="s">
        <v>32</v>
      </c>
      <c r="O2" s="366" t="s">
        <v>705</v>
      </c>
      <c r="P2" s="366" t="s">
        <v>704</v>
      </c>
      <c r="Q2" s="366" t="s">
        <v>33</v>
      </c>
      <c r="R2" s="366" t="s">
        <v>34</v>
      </c>
      <c r="S2" s="366" t="s">
        <v>406</v>
      </c>
      <c r="T2" s="366" t="s">
        <v>36</v>
      </c>
      <c r="U2" s="366" t="s">
        <v>703</v>
      </c>
      <c r="V2" s="366" t="s">
        <v>162</v>
      </c>
      <c r="W2" s="366" t="s">
        <v>38</v>
      </c>
      <c r="X2" s="366" t="s">
        <v>702</v>
      </c>
    </row>
    <row r="3" spans="1:24" ht="15">
      <c r="A3" s="363">
        <v>1</v>
      </c>
      <c r="B3" s="363">
        <v>5513278707</v>
      </c>
      <c r="C3" s="364">
        <v>46103</v>
      </c>
      <c r="D3" s="364">
        <v>46115</v>
      </c>
      <c r="E3" s="364">
        <v>46024</v>
      </c>
      <c r="F3" s="363">
        <v>12</v>
      </c>
      <c r="G3" s="363" t="s">
        <v>158</v>
      </c>
      <c r="H3" s="363" t="s">
        <v>613</v>
      </c>
      <c r="I3" s="363">
        <v>1</v>
      </c>
      <c r="J3" s="363" t="s">
        <v>701</v>
      </c>
      <c r="K3" s="363" t="s">
        <v>646</v>
      </c>
      <c r="L3" s="363">
        <v>2</v>
      </c>
      <c r="M3" s="363">
        <v>0</v>
      </c>
      <c r="N3" s="365">
        <v>406320</v>
      </c>
      <c r="O3" s="365">
        <v>58103</v>
      </c>
      <c r="P3" s="365">
        <v>348217</v>
      </c>
      <c r="Q3" s="365">
        <v>48758</v>
      </c>
      <c r="R3" s="365">
        <v>9345</v>
      </c>
      <c r="S3" s="365">
        <f t="shared" ref="S3:S34" si="1">N3-Q3-R3</f>
        <v>348217</v>
      </c>
      <c r="T3" s="365">
        <f t="shared" ref="T3:T34" si="2">S3</f>
        <v>348217</v>
      </c>
      <c r="U3" s="364">
        <v>46150</v>
      </c>
      <c r="V3" s="365"/>
      <c r="W3" s="364" t="s">
        <v>46</v>
      </c>
      <c r="X3" s="363">
        <f t="shared" ref="X3:X34" si="3">F3*(L3+M3)</f>
        <v>24</v>
      </c>
    </row>
    <row r="4" spans="1:24" ht="15">
      <c r="A4" s="363">
        <v>1</v>
      </c>
      <c r="B4" s="363">
        <v>6476172510</v>
      </c>
      <c r="C4" s="364">
        <v>46110</v>
      </c>
      <c r="D4" s="364">
        <v>46113</v>
      </c>
      <c r="E4" s="364">
        <v>46098</v>
      </c>
      <c r="F4" s="363">
        <v>3</v>
      </c>
      <c r="G4" s="363" t="s">
        <v>158</v>
      </c>
      <c r="H4" s="363" t="s">
        <v>613</v>
      </c>
      <c r="I4" s="363">
        <v>1</v>
      </c>
      <c r="J4" s="363" t="s">
        <v>700</v>
      </c>
      <c r="K4" s="363" t="s">
        <v>624</v>
      </c>
      <c r="L4" s="363">
        <v>2</v>
      </c>
      <c r="M4" s="363">
        <v>0</v>
      </c>
      <c r="N4" s="365">
        <v>81060</v>
      </c>
      <c r="O4" s="365">
        <v>0</v>
      </c>
      <c r="P4" s="365">
        <v>75060</v>
      </c>
      <c r="Q4" s="365">
        <v>12159</v>
      </c>
      <c r="R4" s="365">
        <v>1864</v>
      </c>
      <c r="S4" s="365">
        <f t="shared" si="1"/>
        <v>67037</v>
      </c>
      <c r="T4" s="365">
        <f t="shared" si="2"/>
        <v>67037</v>
      </c>
      <c r="U4" s="364">
        <v>46115</v>
      </c>
      <c r="V4" s="365"/>
      <c r="W4" s="364" t="s">
        <v>46</v>
      </c>
      <c r="X4" s="363">
        <f t="shared" si="3"/>
        <v>6</v>
      </c>
    </row>
    <row r="5" spans="1:24" ht="15">
      <c r="A5" s="363">
        <v>1</v>
      </c>
      <c r="B5" s="363">
        <v>6499912090</v>
      </c>
      <c r="C5" s="364">
        <v>46111</v>
      </c>
      <c r="D5" s="364">
        <v>46115</v>
      </c>
      <c r="E5" s="364">
        <v>46031</v>
      </c>
      <c r="F5" s="363">
        <v>4</v>
      </c>
      <c r="G5" s="363" t="s">
        <v>158</v>
      </c>
      <c r="H5" s="363" t="s">
        <v>613</v>
      </c>
      <c r="I5" s="363">
        <v>1</v>
      </c>
      <c r="J5" s="363" t="s">
        <v>699</v>
      </c>
      <c r="K5" s="363" t="s">
        <v>646</v>
      </c>
      <c r="L5" s="363">
        <v>2</v>
      </c>
      <c r="M5" s="363">
        <v>0</v>
      </c>
      <c r="N5" s="365">
        <v>156120</v>
      </c>
      <c r="O5" s="365">
        <v>22325</v>
      </c>
      <c r="P5" s="365">
        <v>133795</v>
      </c>
      <c r="Q5" s="365">
        <v>18734</v>
      </c>
      <c r="R5" s="365">
        <v>3591</v>
      </c>
      <c r="S5" s="365">
        <f t="shared" si="1"/>
        <v>133795</v>
      </c>
      <c r="T5" s="365">
        <f t="shared" si="2"/>
        <v>133795</v>
      </c>
      <c r="U5" s="364">
        <v>46150</v>
      </c>
      <c r="V5" s="365"/>
      <c r="W5" s="364" t="s">
        <v>46</v>
      </c>
      <c r="X5" s="363">
        <f t="shared" si="3"/>
        <v>8</v>
      </c>
    </row>
    <row r="6" spans="1:24" ht="15">
      <c r="A6" s="363">
        <v>1</v>
      </c>
      <c r="B6" s="363">
        <v>5742481816</v>
      </c>
      <c r="C6" s="364">
        <v>46111</v>
      </c>
      <c r="D6" s="364">
        <v>46114</v>
      </c>
      <c r="E6" s="364">
        <v>46025</v>
      </c>
      <c r="F6" s="363">
        <v>3</v>
      </c>
      <c r="G6" s="363" t="s">
        <v>158</v>
      </c>
      <c r="H6" s="363" t="s">
        <v>623</v>
      </c>
      <c r="I6" s="363">
        <v>2</v>
      </c>
      <c r="J6" s="363" t="s">
        <v>698</v>
      </c>
      <c r="K6" s="363" t="s">
        <v>649</v>
      </c>
      <c r="L6" s="363">
        <v>2</v>
      </c>
      <c r="M6" s="363">
        <v>1</v>
      </c>
      <c r="N6" s="365">
        <f>129525+166582</f>
        <v>296107</v>
      </c>
      <c r="O6" s="365">
        <v>22353</v>
      </c>
      <c r="P6" s="365">
        <v>107172</v>
      </c>
      <c r="Q6" s="365">
        <v>35533</v>
      </c>
      <c r="R6" s="365">
        <v>6810</v>
      </c>
      <c r="S6" s="365">
        <f t="shared" si="1"/>
        <v>253764</v>
      </c>
      <c r="T6" s="365">
        <f t="shared" si="2"/>
        <v>253764</v>
      </c>
      <c r="U6" s="364">
        <v>46150</v>
      </c>
      <c r="V6" s="365"/>
      <c r="W6" s="364" t="s">
        <v>46</v>
      </c>
      <c r="X6" s="363">
        <f t="shared" si="3"/>
        <v>9</v>
      </c>
    </row>
    <row r="7" spans="1:24" ht="15">
      <c r="A7" s="363">
        <v>1</v>
      </c>
      <c r="B7" s="363">
        <v>6452763897</v>
      </c>
      <c r="C7" s="364">
        <v>46112</v>
      </c>
      <c r="D7" s="364">
        <v>46115</v>
      </c>
      <c r="E7" s="364">
        <v>46109</v>
      </c>
      <c r="F7" s="363">
        <v>3</v>
      </c>
      <c r="G7" s="363" t="s">
        <v>158</v>
      </c>
      <c r="H7" s="363" t="s">
        <v>609</v>
      </c>
      <c r="I7" s="363">
        <v>1</v>
      </c>
      <c r="J7" s="363" t="s">
        <v>697</v>
      </c>
      <c r="K7" s="363" t="s">
        <v>615</v>
      </c>
      <c r="L7" s="363">
        <v>3</v>
      </c>
      <c r="M7" s="363">
        <v>0</v>
      </c>
      <c r="N7" s="365">
        <v>70438</v>
      </c>
      <c r="O7" s="365">
        <v>12186</v>
      </c>
      <c r="P7" s="365">
        <v>58252</v>
      </c>
      <c r="Q7" s="365">
        <v>10566</v>
      </c>
      <c r="R7" s="365">
        <v>1620</v>
      </c>
      <c r="S7" s="365">
        <f t="shared" si="1"/>
        <v>58252</v>
      </c>
      <c r="T7" s="365">
        <f t="shared" si="2"/>
        <v>58252</v>
      </c>
      <c r="U7" s="364">
        <v>46150</v>
      </c>
      <c r="V7" s="365"/>
      <c r="W7" s="364" t="s">
        <v>46</v>
      </c>
      <c r="X7" s="363">
        <f t="shared" si="3"/>
        <v>9</v>
      </c>
    </row>
    <row r="8" spans="1:24" ht="15">
      <c r="A8" s="363">
        <v>1</v>
      </c>
      <c r="B8" s="363">
        <v>5991560801</v>
      </c>
      <c r="C8" s="364">
        <v>46114</v>
      </c>
      <c r="D8" s="364">
        <v>46115</v>
      </c>
      <c r="E8" s="364">
        <v>46101</v>
      </c>
      <c r="F8" s="363">
        <v>1</v>
      </c>
      <c r="G8" s="363" t="s">
        <v>158</v>
      </c>
      <c r="H8" s="363" t="s">
        <v>623</v>
      </c>
      <c r="I8" s="363">
        <v>1</v>
      </c>
      <c r="J8" s="363" t="s">
        <v>696</v>
      </c>
      <c r="K8" s="363" t="s">
        <v>615</v>
      </c>
      <c r="L8" s="363">
        <v>2</v>
      </c>
      <c r="M8" s="363">
        <v>2</v>
      </c>
      <c r="N8" s="365">
        <v>40160</v>
      </c>
      <c r="O8" s="365">
        <v>6948</v>
      </c>
      <c r="P8" s="365">
        <v>33212</v>
      </c>
      <c r="Q8" s="365">
        <v>6024</v>
      </c>
      <c r="R8" s="365">
        <v>924</v>
      </c>
      <c r="S8" s="365">
        <f t="shared" si="1"/>
        <v>33212</v>
      </c>
      <c r="T8" s="365">
        <f t="shared" si="2"/>
        <v>33212</v>
      </c>
      <c r="U8" s="364">
        <v>46150</v>
      </c>
      <c r="V8" s="365"/>
      <c r="W8" s="364" t="s">
        <v>46</v>
      </c>
      <c r="X8" s="363">
        <f t="shared" si="3"/>
        <v>4</v>
      </c>
    </row>
    <row r="9" spans="1:24" ht="15">
      <c r="A9" s="363">
        <v>1</v>
      </c>
      <c r="B9" s="363">
        <v>6207646306</v>
      </c>
      <c r="C9" s="364">
        <v>46114</v>
      </c>
      <c r="D9" s="364">
        <v>46116</v>
      </c>
      <c r="E9" s="364">
        <v>46098</v>
      </c>
      <c r="F9" s="363">
        <v>2</v>
      </c>
      <c r="G9" s="363" t="s">
        <v>158</v>
      </c>
      <c r="H9" s="363" t="s">
        <v>613</v>
      </c>
      <c r="I9" s="363">
        <v>1</v>
      </c>
      <c r="J9" s="363" t="s">
        <v>695</v>
      </c>
      <c r="K9" s="363" t="s">
        <v>624</v>
      </c>
      <c r="L9" s="363">
        <v>3</v>
      </c>
      <c r="M9" s="363">
        <v>0</v>
      </c>
      <c r="N9" s="365">
        <v>103578</v>
      </c>
      <c r="O9" s="365">
        <v>17919</v>
      </c>
      <c r="P9" s="365">
        <v>85659</v>
      </c>
      <c r="Q9" s="365">
        <v>15537</v>
      </c>
      <c r="R9" s="365">
        <v>2382</v>
      </c>
      <c r="S9" s="365">
        <f t="shared" si="1"/>
        <v>85659</v>
      </c>
      <c r="T9" s="365">
        <f t="shared" si="2"/>
        <v>85659</v>
      </c>
      <c r="U9" s="364">
        <v>46150</v>
      </c>
      <c r="V9" s="365"/>
      <c r="W9" s="364" t="s">
        <v>46</v>
      </c>
      <c r="X9" s="363">
        <f t="shared" si="3"/>
        <v>6</v>
      </c>
    </row>
    <row r="10" spans="1:24" ht="15">
      <c r="A10" s="363">
        <v>1</v>
      </c>
      <c r="B10" s="363">
        <v>6682072900</v>
      </c>
      <c r="C10" s="364">
        <v>46114</v>
      </c>
      <c r="D10" s="364">
        <v>46115</v>
      </c>
      <c r="E10" s="364">
        <v>46098</v>
      </c>
      <c r="F10" s="363">
        <v>1</v>
      </c>
      <c r="G10" s="363" t="s">
        <v>158</v>
      </c>
      <c r="H10" s="363" t="s">
        <v>623</v>
      </c>
      <c r="I10" s="363">
        <v>1</v>
      </c>
      <c r="J10" s="363" t="s">
        <v>694</v>
      </c>
      <c r="K10" s="363" t="s">
        <v>615</v>
      </c>
      <c r="L10" s="363">
        <v>2</v>
      </c>
      <c r="M10" s="363">
        <v>0</v>
      </c>
      <c r="N10" s="365">
        <v>25215</v>
      </c>
      <c r="O10" s="365">
        <v>4362</v>
      </c>
      <c r="P10" s="365">
        <v>20853</v>
      </c>
      <c r="Q10" s="365">
        <v>3782</v>
      </c>
      <c r="R10" s="365">
        <v>580</v>
      </c>
      <c r="S10" s="365">
        <f t="shared" si="1"/>
        <v>20853</v>
      </c>
      <c r="T10" s="365">
        <f t="shared" si="2"/>
        <v>20853</v>
      </c>
      <c r="U10" s="364">
        <v>46150</v>
      </c>
      <c r="V10" s="365"/>
      <c r="W10" s="364" t="s">
        <v>46</v>
      </c>
      <c r="X10" s="363">
        <f t="shared" si="3"/>
        <v>2</v>
      </c>
    </row>
    <row r="11" spans="1:24" ht="15">
      <c r="A11" s="363">
        <v>1</v>
      </c>
      <c r="B11" s="363">
        <v>6375677983</v>
      </c>
      <c r="C11" s="364">
        <v>46115</v>
      </c>
      <c r="D11" s="364">
        <v>46116</v>
      </c>
      <c r="E11" s="364">
        <v>46088</v>
      </c>
      <c r="F11" s="363">
        <v>1</v>
      </c>
      <c r="G11" s="363" t="s">
        <v>158</v>
      </c>
      <c r="H11" s="363" t="s">
        <v>609</v>
      </c>
      <c r="I11" s="363">
        <v>1</v>
      </c>
      <c r="J11" s="363" t="s">
        <v>693</v>
      </c>
      <c r="K11" s="363" t="s">
        <v>615</v>
      </c>
      <c r="L11" s="363">
        <v>3</v>
      </c>
      <c r="M11" s="363">
        <v>2</v>
      </c>
      <c r="N11" s="365">
        <v>54333</v>
      </c>
      <c r="O11" s="365">
        <v>7770</v>
      </c>
      <c r="P11" s="365">
        <v>46563</v>
      </c>
      <c r="Q11" s="365">
        <v>6520</v>
      </c>
      <c r="R11" s="365">
        <v>1250</v>
      </c>
      <c r="S11" s="365">
        <f t="shared" si="1"/>
        <v>46563</v>
      </c>
      <c r="T11" s="365">
        <f t="shared" si="2"/>
        <v>46563</v>
      </c>
      <c r="U11" s="364">
        <v>46150</v>
      </c>
      <c r="V11" s="365"/>
      <c r="W11" s="364" t="s">
        <v>46</v>
      </c>
      <c r="X11" s="363">
        <f t="shared" si="3"/>
        <v>5</v>
      </c>
    </row>
    <row r="12" spans="1:24" ht="15">
      <c r="A12" s="363">
        <v>1</v>
      </c>
      <c r="B12" s="363">
        <v>5440457575</v>
      </c>
      <c r="C12" s="364">
        <v>46115</v>
      </c>
      <c r="D12" s="364">
        <v>46117</v>
      </c>
      <c r="E12" s="364">
        <v>46109</v>
      </c>
      <c r="F12" s="363">
        <v>2</v>
      </c>
      <c r="G12" s="363" t="s">
        <v>158</v>
      </c>
      <c r="H12" s="363" t="s">
        <v>628</v>
      </c>
      <c r="I12" s="363">
        <v>1</v>
      </c>
      <c r="J12" s="363" t="s">
        <v>692</v>
      </c>
      <c r="K12" s="363" t="s">
        <v>691</v>
      </c>
      <c r="L12" s="363">
        <v>2</v>
      </c>
      <c r="M12" s="363">
        <v>2</v>
      </c>
      <c r="N12" s="365">
        <v>141000</v>
      </c>
      <c r="O12" s="365">
        <v>24393</v>
      </c>
      <c r="P12" s="365">
        <v>116607</v>
      </c>
      <c r="Q12" s="365">
        <v>21150</v>
      </c>
      <c r="R12" s="365">
        <v>3243</v>
      </c>
      <c r="S12" s="365">
        <f t="shared" si="1"/>
        <v>116607</v>
      </c>
      <c r="T12" s="365">
        <f t="shared" si="2"/>
        <v>116607</v>
      </c>
      <c r="U12" s="364">
        <v>46150</v>
      </c>
      <c r="V12" s="365"/>
      <c r="W12" s="364" t="s">
        <v>46</v>
      </c>
      <c r="X12" s="363">
        <f t="shared" si="3"/>
        <v>8</v>
      </c>
    </row>
    <row r="13" spans="1:24" ht="15">
      <c r="A13" s="363">
        <v>1</v>
      </c>
      <c r="B13" s="363">
        <v>6329474212</v>
      </c>
      <c r="C13" s="364">
        <v>46115</v>
      </c>
      <c r="D13" s="364">
        <v>46121</v>
      </c>
      <c r="E13" s="364">
        <v>46040</v>
      </c>
      <c r="F13" s="363">
        <v>6</v>
      </c>
      <c r="G13" s="363" t="s">
        <v>158</v>
      </c>
      <c r="H13" s="363" t="s">
        <v>613</v>
      </c>
      <c r="I13" s="363">
        <v>1</v>
      </c>
      <c r="J13" s="363" t="s">
        <v>690</v>
      </c>
      <c r="K13" s="363" t="s">
        <v>689</v>
      </c>
      <c r="L13" s="363">
        <v>2</v>
      </c>
      <c r="M13" s="363">
        <v>0</v>
      </c>
      <c r="N13" s="365">
        <v>231180</v>
      </c>
      <c r="O13" s="365">
        <v>33059</v>
      </c>
      <c r="P13" s="365">
        <v>198121</v>
      </c>
      <c r="Q13" s="365">
        <v>27742</v>
      </c>
      <c r="R13" s="365">
        <v>5317</v>
      </c>
      <c r="S13" s="365">
        <f t="shared" si="1"/>
        <v>198121</v>
      </c>
      <c r="T13" s="365">
        <f t="shared" si="2"/>
        <v>198121</v>
      </c>
      <c r="U13" s="364">
        <v>46150</v>
      </c>
      <c r="V13" s="365"/>
      <c r="W13" s="364" t="s">
        <v>46</v>
      </c>
      <c r="X13" s="363">
        <f t="shared" si="3"/>
        <v>12</v>
      </c>
    </row>
    <row r="14" spans="1:24" ht="15">
      <c r="A14" s="363">
        <v>1</v>
      </c>
      <c r="B14" s="363">
        <v>6039939329</v>
      </c>
      <c r="C14" s="364">
        <v>46115</v>
      </c>
      <c r="D14" s="364">
        <v>46119</v>
      </c>
      <c r="E14" s="364">
        <v>46055</v>
      </c>
      <c r="F14" s="363">
        <v>4</v>
      </c>
      <c r="G14" s="363" t="s">
        <v>158</v>
      </c>
      <c r="H14" s="363" t="s">
        <v>613</v>
      </c>
      <c r="I14" s="363">
        <v>1</v>
      </c>
      <c r="J14" s="363" t="s">
        <v>688</v>
      </c>
      <c r="K14" s="363" t="s">
        <v>620</v>
      </c>
      <c r="L14" s="363">
        <v>3</v>
      </c>
      <c r="M14" s="363">
        <v>0</v>
      </c>
      <c r="N14" s="365">
        <v>201156</v>
      </c>
      <c r="O14" s="365">
        <v>28766</v>
      </c>
      <c r="P14" s="365">
        <v>172390</v>
      </c>
      <c r="Q14" s="365">
        <v>24139</v>
      </c>
      <c r="R14" s="365">
        <v>4627</v>
      </c>
      <c r="S14" s="365">
        <f t="shared" si="1"/>
        <v>172390</v>
      </c>
      <c r="T14" s="365">
        <f t="shared" si="2"/>
        <v>172390</v>
      </c>
      <c r="U14" s="364">
        <v>46150</v>
      </c>
      <c r="V14" s="365"/>
      <c r="W14" s="364" t="s">
        <v>46</v>
      </c>
      <c r="X14" s="363">
        <f t="shared" si="3"/>
        <v>12</v>
      </c>
    </row>
    <row r="15" spans="1:24" ht="15">
      <c r="A15" s="363">
        <v>1</v>
      </c>
      <c r="B15" s="363">
        <v>6401963673</v>
      </c>
      <c r="C15" s="364">
        <v>46115</v>
      </c>
      <c r="D15" s="364">
        <v>46116</v>
      </c>
      <c r="E15" s="364">
        <v>46058</v>
      </c>
      <c r="F15" s="363">
        <v>1</v>
      </c>
      <c r="G15" s="363" t="s">
        <v>158</v>
      </c>
      <c r="H15" s="363" t="s">
        <v>623</v>
      </c>
      <c r="I15" s="363">
        <v>2</v>
      </c>
      <c r="J15" s="363" t="s">
        <v>687</v>
      </c>
      <c r="K15" s="363" t="s">
        <v>629</v>
      </c>
      <c r="L15" s="363">
        <v>2</v>
      </c>
      <c r="M15" s="363">
        <v>0</v>
      </c>
      <c r="N15" s="365">
        <f>47175+47175</f>
        <v>94350</v>
      </c>
      <c r="O15" s="365">
        <v>7831</v>
      </c>
      <c r="P15" s="365">
        <v>39344</v>
      </c>
      <c r="Q15" s="365">
        <v>11322</v>
      </c>
      <c r="R15" s="365">
        <v>2170</v>
      </c>
      <c r="S15" s="365">
        <f t="shared" si="1"/>
        <v>80858</v>
      </c>
      <c r="T15" s="365">
        <f t="shared" si="2"/>
        <v>80858</v>
      </c>
      <c r="U15" s="364">
        <v>46150</v>
      </c>
      <c r="V15" s="365"/>
      <c r="W15" s="364" t="s">
        <v>46</v>
      </c>
      <c r="X15" s="363">
        <f t="shared" si="3"/>
        <v>2</v>
      </c>
    </row>
    <row r="16" spans="1:24" ht="15">
      <c r="A16" s="363">
        <v>1</v>
      </c>
      <c r="B16" s="363">
        <v>5552259360</v>
      </c>
      <c r="C16" s="364">
        <v>46116</v>
      </c>
      <c r="D16" s="364">
        <v>46118</v>
      </c>
      <c r="E16" s="364">
        <v>46034</v>
      </c>
      <c r="F16" s="363">
        <v>2</v>
      </c>
      <c r="G16" s="363" t="s">
        <v>158</v>
      </c>
      <c r="H16" s="363" t="s">
        <v>623</v>
      </c>
      <c r="I16" s="363">
        <v>2</v>
      </c>
      <c r="J16" s="363" t="s">
        <v>686</v>
      </c>
      <c r="K16" s="363" t="s">
        <v>629</v>
      </c>
      <c r="L16" s="363">
        <v>2</v>
      </c>
      <c r="M16" s="363">
        <v>0</v>
      </c>
      <c r="N16" s="365">
        <f>88350+88350</f>
        <v>176700</v>
      </c>
      <c r="O16" s="365">
        <v>14666</v>
      </c>
      <c r="P16" s="365">
        <v>73684</v>
      </c>
      <c r="Q16" s="365">
        <v>21204</v>
      </c>
      <c r="R16" s="365">
        <v>4064</v>
      </c>
      <c r="S16" s="365">
        <f t="shared" si="1"/>
        <v>151432</v>
      </c>
      <c r="T16" s="365">
        <f t="shared" si="2"/>
        <v>151432</v>
      </c>
      <c r="U16" s="364">
        <v>46150</v>
      </c>
      <c r="V16" s="365"/>
      <c r="W16" s="364" t="s">
        <v>46</v>
      </c>
      <c r="X16" s="363">
        <f t="shared" si="3"/>
        <v>4</v>
      </c>
    </row>
    <row r="17" spans="1:24" ht="15">
      <c r="A17" s="363">
        <v>1</v>
      </c>
      <c r="B17" s="363">
        <v>5577699383</v>
      </c>
      <c r="C17" s="364">
        <v>46116</v>
      </c>
      <c r="D17" s="364">
        <v>46120</v>
      </c>
      <c r="E17" s="364">
        <v>46046</v>
      </c>
      <c r="F17" s="363">
        <v>4</v>
      </c>
      <c r="G17" s="363" t="s">
        <v>158</v>
      </c>
      <c r="H17" s="363" t="s">
        <v>613</v>
      </c>
      <c r="I17" s="363">
        <v>1</v>
      </c>
      <c r="J17" s="363" t="s">
        <v>685</v>
      </c>
      <c r="K17" s="363" t="s">
        <v>678</v>
      </c>
      <c r="L17" s="363">
        <v>2</v>
      </c>
      <c r="M17" s="363">
        <v>0</v>
      </c>
      <c r="N17" s="365">
        <v>156120</v>
      </c>
      <c r="O17" s="365">
        <v>22325</v>
      </c>
      <c r="P17" s="365">
        <v>133795</v>
      </c>
      <c r="Q17" s="365">
        <v>18734</v>
      </c>
      <c r="R17" s="365">
        <v>3591</v>
      </c>
      <c r="S17" s="365">
        <f t="shared" si="1"/>
        <v>133795</v>
      </c>
      <c r="T17" s="365">
        <f t="shared" si="2"/>
        <v>133795</v>
      </c>
      <c r="U17" s="364">
        <v>46150</v>
      </c>
      <c r="V17" s="365"/>
      <c r="W17" s="364" t="s">
        <v>46</v>
      </c>
      <c r="X17" s="363">
        <f t="shared" si="3"/>
        <v>8</v>
      </c>
    </row>
    <row r="18" spans="1:24" ht="15">
      <c r="A18" s="363">
        <v>1</v>
      </c>
      <c r="B18" s="363">
        <v>5531975761</v>
      </c>
      <c r="C18" s="364">
        <v>46117</v>
      </c>
      <c r="D18" s="364">
        <v>46123</v>
      </c>
      <c r="E18" s="364">
        <v>46101</v>
      </c>
      <c r="F18" s="363">
        <v>6</v>
      </c>
      <c r="G18" s="363" t="s">
        <v>158</v>
      </c>
      <c r="H18" s="363" t="s">
        <v>628</v>
      </c>
      <c r="I18" s="363">
        <v>1</v>
      </c>
      <c r="J18" s="363" t="s">
        <v>684</v>
      </c>
      <c r="K18" s="363" t="s">
        <v>683</v>
      </c>
      <c r="L18" s="363">
        <v>4</v>
      </c>
      <c r="M18" s="363">
        <v>0</v>
      </c>
      <c r="N18" s="365">
        <v>276000</v>
      </c>
      <c r="O18" s="365">
        <v>47748</v>
      </c>
      <c r="P18" s="365">
        <v>228252</v>
      </c>
      <c r="Q18" s="365">
        <v>41400</v>
      </c>
      <c r="R18" s="365">
        <v>6348</v>
      </c>
      <c r="S18" s="365">
        <f t="shared" si="1"/>
        <v>228252</v>
      </c>
      <c r="T18" s="365">
        <f t="shared" si="2"/>
        <v>228252</v>
      </c>
      <c r="U18" s="364">
        <v>46150</v>
      </c>
      <c r="V18" s="365"/>
      <c r="W18" s="364" t="s">
        <v>46</v>
      </c>
      <c r="X18" s="363">
        <f t="shared" si="3"/>
        <v>24</v>
      </c>
    </row>
    <row r="19" spans="1:24" ht="15">
      <c r="A19" s="363">
        <v>1</v>
      </c>
      <c r="B19" s="363">
        <v>6508781956</v>
      </c>
      <c r="C19" s="364">
        <v>46118</v>
      </c>
      <c r="D19" s="364">
        <v>46121</v>
      </c>
      <c r="E19" s="364">
        <v>46095</v>
      </c>
      <c r="F19" s="363">
        <v>3</v>
      </c>
      <c r="G19" s="363" t="s">
        <v>158</v>
      </c>
      <c r="H19" s="363" t="s">
        <v>623</v>
      </c>
      <c r="I19" s="363">
        <v>1</v>
      </c>
      <c r="J19" s="363" t="s">
        <v>682</v>
      </c>
      <c r="K19" s="363" t="s">
        <v>678</v>
      </c>
      <c r="L19" s="363">
        <v>1</v>
      </c>
      <c r="M19" s="363">
        <v>0</v>
      </c>
      <c r="N19" s="365">
        <v>80115</v>
      </c>
      <c r="O19" s="365">
        <v>13860</v>
      </c>
      <c r="P19" s="365">
        <v>66255</v>
      </c>
      <c r="Q19" s="365">
        <v>12017</v>
      </c>
      <c r="R19" s="365">
        <v>1843</v>
      </c>
      <c r="S19" s="365">
        <f t="shared" si="1"/>
        <v>66255</v>
      </c>
      <c r="T19" s="365">
        <f t="shared" si="2"/>
        <v>66255</v>
      </c>
      <c r="U19" s="364">
        <v>46150</v>
      </c>
      <c r="V19" s="365"/>
      <c r="W19" s="364" t="s">
        <v>46</v>
      </c>
      <c r="X19" s="363">
        <f t="shared" si="3"/>
        <v>3</v>
      </c>
    </row>
    <row r="20" spans="1:24" ht="15">
      <c r="A20" s="363">
        <v>1</v>
      </c>
      <c r="B20" s="363">
        <v>6774421891</v>
      </c>
      <c r="C20" s="364">
        <v>46118</v>
      </c>
      <c r="D20" s="364">
        <v>46120</v>
      </c>
      <c r="E20" s="364">
        <v>46086</v>
      </c>
      <c r="F20" s="363">
        <v>2</v>
      </c>
      <c r="G20" s="363" t="s">
        <v>158</v>
      </c>
      <c r="H20" s="363" t="s">
        <v>609</v>
      </c>
      <c r="I20" s="363">
        <v>1</v>
      </c>
      <c r="J20" s="363" t="s">
        <v>681</v>
      </c>
      <c r="K20" s="363" t="s">
        <v>653</v>
      </c>
      <c r="L20" s="363">
        <v>2</v>
      </c>
      <c r="M20" s="363">
        <v>2</v>
      </c>
      <c r="N20" s="365">
        <v>131665</v>
      </c>
      <c r="O20" s="365">
        <v>18828</v>
      </c>
      <c r="P20" s="365">
        <v>112837</v>
      </c>
      <c r="Q20" s="365">
        <v>15800</v>
      </c>
      <c r="R20" s="365">
        <v>3028</v>
      </c>
      <c r="S20" s="365">
        <f t="shared" si="1"/>
        <v>112837</v>
      </c>
      <c r="T20" s="365">
        <f t="shared" si="2"/>
        <v>112837</v>
      </c>
      <c r="U20" s="364">
        <v>46150</v>
      </c>
      <c r="V20" s="365"/>
      <c r="W20" s="364" t="s">
        <v>46</v>
      </c>
      <c r="X20" s="363">
        <f t="shared" si="3"/>
        <v>8</v>
      </c>
    </row>
    <row r="21" spans="1:24" ht="15">
      <c r="A21" s="363">
        <v>1</v>
      </c>
      <c r="B21" s="363">
        <v>6246263907</v>
      </c>
      <c r="C21" s="364">
        <v>46119</v>
      </c>
      <c r="D21" s="364">
        <v>46121</v>
      </c>
      <c r="E21" s="364">
        <v>46047</v>
      </c>
      <c r="F21" s="363">
        <v>2</v>
      </c>
      <c r="G21" s="363" t="s">
        <v>158</v>
      </c>
      <c r="H21" s="363" t="s">
        <v>619</v>
      </c>
      <c r="I21" s="363">
        <v>1</v>
      </c>
      <c r="J21" s="363" t="s">
        <v>680</v>
      </c>
      <c r="K21" s="363" t="s">
        <v>624</v>
      </c>
      <c r="L21" s="363">
        <v>3</v>
      </c>
      <c r="M21" s="363">
        <v>0</v>
      </c>
      <c r="N21" s="365">
        <v>110755</v>
      </c>
      <c r="O21" s="365">
        <v>15838</v>
      </c>
      <c r="P21" s="365">
        <v>94917</v>
      </c>
      <c r="Q21" s="365">
        <v>13291</v>
      </c>
      <c r="R21" s="365">
        <v>2547</v>
      </c>
      <c r="S21" s="365">
        <f t="shared" si="1"/>
        <v>94917</v>
      </c>
      <c r="T21" s="365">
        <f t="shared" si="2"/>
        <v>94917</v>
      </c>
      <c r="U21" s="364">
        <v>46150</v>
      </c>
      <c r="V21" s="365"/>
      <c r="W21" s="364" t="s">
        <v>46</v>
      </c>
      <c r="X21" s="363">
        <f t="shared" si="3"/>
        <v>6</v>
      </c>
    </row>
    <row r="22" spans="1:24" ht="15">
      <c r="A22" s="363">
        <v>1</v>
      </c>
      <c r="B22" s="363">
        <v>6551582584</v>
      </c>
      <c r="C22" s="364">
        <v>46119</v>
      </c>
      <c r="D22" s="364">
        <v>46122</v>
      </c>
      <c r="E22" s="364">
        <v>46118</v>
      </c>
      <c r="F22" s="363">
        <v>3</v>
      </c>
      <c r="G22" s="363" t="s">
        <v>158</v>
      </c>
      <c r="H22" s="363" t="s">
        <v>613</v>
      </c>
      <c r="I22" s="363">
        <v>1</v>
      </c>
      <c r="J22" s="363" t="s">
        <v>679</v>
      </c>
      <c r="K22" s="363" t="s">
        <v>678</v>
      </c>
      <c r="L22" s="363">
        <v>2</v>
      </c>
      <c r="M22" s="363">
        <v>0</v>
      </c>
      <c r="N22" s="365">
        <v>51036</v>
      </c>
      <c r="O22" s="365">
        <v>8829</v>
      </c>
      <c r="P22" s="365">
        <v>42207</v>
      </c>
      <c r="Q22" s="365">
        <v>7655</v>
      </c>
      <c r="R22" s="365">
        <v>1174</v>
      </c>
      <c r="S22" s="365">
        <f t="shared" si="1"/>
        <v>42207</v>
      </c>
      <c r="T22" s="365">
        <f t="shared" si="2"/>
        <v>42207</v>
      </c>
      <c r="U22" s="364">
        <v>46150</v>
      </c>
      <c r="V22" s="365"/>
      <c r="W22" s="364" t="s">
        <v>46</v>
      </c>
      <c r="X22" s="363">
        <f t="shared" si="3"/>
        <v>6</v>
      </c>
    </row>
    <row r="23" spans="1:24" ht="15">
      <c r="A23" s="363">
        <v>1</v>
      </c>
      <c r="B23" s="363">
        <v>5305848845</v>
      </c>
      <c r="C23" s="364">
        <v>46120</v>
      </c>
      <c r="D23" s="364">
        <v>46128</v>
      </c>
      <c r="E23" s="364">
        <v>46029</v>
      </c>
      <c r="F23" s="363">
        <v>8</v>
      </c>
      <c r="G23" s="363" t="s">
        <v>158</v>
      </c>
      <c r="H23" s="363" t="s">
        <v>609</v>
      </c>
      <c r="I23" s="363">
        <v>1</v>
      </c>
      <c r="J23" s="363" t="s">
        <v>677</v>
      </c>
      <c r="K23" s="363" t="s">
        <v>646</v>
      </c>
      <c r="L23" s="363">
        <v>2</v>
      </c>
      <c r="M23" s="363">
        <v>2</v>
      </c>
      <c r="N23" s="365">
        <v>392662</v>
      </c>
      <c r="O23" s="365">
        <v>56150</v>
      </c>
      <c r="P23" s="365">
        <v>336512</v>
      </c>
      <c r="Q23" s="365">
        <v>47119</v>
      </c>
      <c r="R23" s="365">
        <v>9031</v>
      </c>
      <c r="S23" s="365">
        <f t="shared" si="1"/>
        <v>336512</v>
      </c>
      <c r="T23" s="365">
        <f t="shared" si="2"/>
        <v>336512</v>
      </c>
      <c r="U23" s="364">
        <v>46150</v>
      </c>
      <c r="V23" s="365"/>
      <c r="W23" s="364" t="s">
        <v>46</v>
      </c>
      <c r="X23" s="363">
        <f t="shared" si="3"/>
        <v>32</v>
      </c>
    </row>
    <row r="24" spans="1:24" ht="15">
      <c r="A24" s="363">
        <v>1</v>
      </c>
      <c r="B24" s="363">
        <v>5070127519</v>
      </c>
      <c r="C24" s="364">
        <v>46120</v>
      </c>
      <c r="D24" s="364">
        <v>46126</v>
      </c>
      <c r="E24" s="364">
        <v>46079</v>
      </c>
      <c r="F24" s="363">
        <v>6</v>
      </c>
      <c r="G24" s="363" t="s">
        <v>158</v>
      </c>
      <c r="H24" s="363" t="s">
        <v>613</v>
      </c>
      <c r="I24" s="363">
        <v>1</v>
      </c>
      <c r="J24" s="363" t="s">
        <v>676</v>
      </c>
      <c r="K24" s="363" t="s">
        <v>653</v>
      </c>
      <c r="L24" s="363">
        <v>2</v>
      </c>
      <c r="M24" s="363">
        <v>0</v>
      </c>
      <c r="N24" s="365">
        <v>226176</v>
      </c>
      <c r="O24" s="365">
        <v>32343</v>
      </c>
      <c r="P24" s="365">
        <v>193833</v>
      </c>
      <c r="Q24" s="365">
        <v>27141</v>
      </c>
      <c r="R24" s="365">
        <v>5202</v>
      </c>
      <c r="S24" s="365">
        <f t="shared" si="1"/>
        <v>193833</v>
      </c>
      <c r="T24" s="365">
        <f t="shared" si="2"/>
        <v>193833</v>
      </c>
      <c r="U24" s="364">
        <v>46150</v>
      </c>
      <c r="V24" s="365"/>
      <c r="W24" s="364" t="s">
        <v>46</v>
      </c>
      <c r="X24" s="363">
        <f t="shared" si="3"/>
        <v>12</v>
      </c>
    </row>
    <row r="25" spans="1:24" ht="15">
      <c r="A25" s="363">
        <v>1</v>
      </c>
      <c r="B25" s="363">
        <v>5221408297</v>
      </c>
      <c r="C25" s="364">
        <v>46121</v>
      </c>
      <c r="D25" s="364">
        <v>46123</v>
      </c>
      <c r="E25" s="364">
        <v>46116</v>
      </c>
      <c r="F25" s="363">
        <v>2</v>
      </c>
      <c r="G25" s="363" t="s">
        <v>158</v>
      </c>
      <c r="H25" s="363" t="s">
        <v>613</v>
      </c>
      <c r="I25" s="363">
        <v>1</v>
      </c>
      <c r="J25" s="363" t="s">
        <v>675</v>
      </c>
      <c r="K25" s="363" t="s">
        <v>646</v>
      </c>
      <c r="L25" s="363">
        <v>3</v>
      </c>
      <c r="M25" s="363">
        <v>0</v>
      </c>
      <c r="N25" s="365">
        <v>58692</v>
      </c>
      <c r="O25" s="365">
        <v>10154</v>
      </c>
      <c r="P25" s="365">
        <v>48538</v>
      </c>
      <c r="Q25" s="365">
        <v>8804</v>
      </c>
      <c r="R25" s="365">
        <v>1350</v>
      </c>
      <c r="S25" s="365">
        <f t="shared" si="1"/>
        <v>48538</v>
      </c>
      <c r="T25" s="365">
        <f t="shared" si="2"/>
        <v>48538</v>
      </c>
      <c r="U25" s="364">
        <v>46150</v>
      </c>
      <c r="V25" s="365"/>
      <c r="W25" s="364" t="s">
        <v>46</v>
      </c>
      <c r="X25" s="363">
        <f t="shared" si="3"/>
        <v>6</v>
      </c>
    </row>
    <row r="26" spans="1:24" ht="15">
      <c r="A26" s="363">
        <v>1</v>
      </c>
      <c r="B26" s="363">
        <v>5743915140</v>
      </c>
      <c r="C26" s="364">
        <v>46121</v>
      </c>
      <c r="D26" s="364">
        <v>46124</v>
      </c>
      <c r="E26" s="364">
        <v>46118</v>
      </c>
      <c r="F26" s="363">
        <v>3</v>
      </c>
      <c r="G26" s="363" t="s">
        <v>158</v>
      </c>
      <c r="H26" s="363" t="s">
        <v>623</v>
      </c>
      <c r="I26" s="363">
        <v>1</v>
      </c>
      <c r="J26" s="363" t="s">
        <v>674</v>
      </c>
      <c r="K26" s="363" t="s">
        <v>634</v>
      </c>
      <c r="L26" s="363">
        <v>2</v>
      </c>
      <c r="M26" s="363">
        <v>0</v>
      </c>
      <c r="N26" s="365">
        <v>52116</v>
      </c>
      <c r="O26" s="365">
        <v>9016</v>
      </c>
      <c r="P26" s="365">
        <v>43100</v>
      </c>
      <c r="Q26" s="365">
        <v>7817</v>
      </c>
      <c r="R26" s="365">
        <v>1199</v>
      </c>
      <c r="S26" s="365">
        <f t="shared" si="1"/>
        <v>43100</v>
      </c>
      <c r="T26" s="365">
        <f t="shared" si="2"/>
        <v>43100</v>
      </c>
      <c r="U26" s="364">
        <v>46150</v>
      </c>
      <c r="V26" s="365"/>
      <c r="W26" s="364" t="s">
        <v>46</v>
      </c>
      <c r="X26" s="363">
        <f t="shared" si="3"/>
        <v>6</v>
      </c>
    </row>
    <row r="27" spans="1:24" ht="15">
      <c r="A27" s="363">
        <v>1</v>
      </c>
      <c r="B27" s="363">
        <v>6697823605</v>
      </c>
      <c r="C27" s="364">
        <v>46121</v>
      </c>
      <c r="D27" s="364">
        <v>46125</v>
      </c>
      <c r="E27" s="364">
        <v>46036</v>
      </c>
      <c r="F27" s="363">
        <v>4</v>
      </c>
      <c r="G27" s="363" t="s">
        <v>158</v>
      </c>
      <c r="H27" s="363" t="s">
        <v>623</v>
      </c>
      <c r="I27" s="363">
        <v>1</v>
      </c>
      <c r="J27" s="363" t="s">
        <v>673</v>
      </c>
      <c r="K27" s="363" t="s">
        <v>672</v>
      </c>
      <c r="L27" s="363">
        <v>2</v>
      </c>
      <c r="M27" s="363">
        <v>1</v>
      </c>
      <c r="N27" s="365">
        <v>170700</v>
      </c>
      <c r="O27" s="365">
        <v>24410</v>
      </c>
      <c r="P27" s="365">
        <v>146290</v>
      </c>
      <c r="Q27" s="365">
        <v>20484</v>
      </c>
      <c r="R27" s="365">
        <v>3926</v>
      </c>
      <c r="S27" s="365">
        <f t="shared" si="1"/>
        <v>146290</v>
      </c>
      <c r="T27" s="365">
        <f t="shared" si="2"/>
        <v>146290</v>
      </c>
      <c r="U27" s="364">
        <v>46150</v>
      </c>
      <c r="V27" s="365"/>
      <c r="W27" s="364" t="s">
        <v>46</v>
      </c>
      <c r="X27" s="363">
        <f t="shared" si="3"/>
        <v>12</v>
      </c>
    </row>
    <row r="28" spans="1:24" ht="15">
      <c r="A28" s="363">
        <v>1</v>
      </c>
      <c r="B28" s="363">
        <v>6875160161</v>
      </c>
      <c r="C28" s="364">
        <v>46122</v>
      </c>
      <c r="D28" s="364">
        <v>46125</v>
      </c>
      <c r="E28" s="364">
        <v>46062</v>
      </c>
      <c r="F28" s="363">
        <v>3</v>
      </c>
      <c r="G28" s="363" t="s">
        <v>158</v>
      </c>
      <c r="H28" s="363" t="s">
        <v>613</v>
      </c>
      <c r="I28" s="363">
        <v>1</v>
      </c>
      <c r="J28" s="363" t="s">
        <v>671</v>
      </c>
      <c r="K28" s="363" t="s">
        <v>620</v>
      </c>
      <c r="L28" s="363">
        <v>2</v>
      </c>
      <c r="M28" s="363">
        <v>0</v>
      </c>
      <c r="N28" s="365">
        <v>118590</v>
      </c>
      <c r="O28" s="365">
        <v>16959</v>
      </c>
      <c r="P28" s="365">
        <v>101631</v>
      </c>
      <c r="Q28" s="365">
        <v>14231</v>
      </c>
      <c r="R28" s="365">
        <v>2728</v>
      </c>
      <c r="S28" s="365">
        <f t="shared" si="1"/>
        <v>101631</v>
      </c>
      <c r="T28" s="365">
        <f t="shared" si="2"/>
        <v>101631</v>
      </c>
      <c r="U28" s="364">
        <v>46150</v>
      </c>
      <c r="V28" s="365"/>
      <c r="W28" s="364" t="s">
        <v>46</v>
      </c>
      <c r="X28" s="363">
        <f t="shared" si="3"/>
        <v>6</v>
      </c>
    </row>
    <row r="29" spans="1:24" ht="15">
      <c r="A29" s="363">
        <v>1</v>
      </c>
      <c r="B29" s="363">
        <v>5926729431</v>
      </c>
      <c r="C29" s="364">
        <v>46122</v>
      </c>
      <c r="D29" s="364">
        <v>46127</v>
      </c>
      <c r="E29" s="364">
        <v>46044</v>
      </c>
      <c r="F29" s="363">
        <v>5</v>
      </c>
      <c r="G29" s="363" t="s">
        <v>158</v>
      </c>
      <c r="H29" s="363" t="s">
        <v>619</v>
      </c>
      <c r="I29" s="363">
        <v>1</v>
      </c>
      <c r="J29" s="363" t="s">
        <v>670</v>
      </c>
      <c r="K29" s="363" t="s">
        <v>653</v>
      </c>
      <c r="L29" s="363">
        <v>2</v>
      </c>
      <c r="M29" s="363">
        <v>2</v>
      </c>
      <c r="N29" s="365">
        <v>267886</v>
      </c>
      <c r="O29" s="365">
        <v>38307</v>
      </c>
      <c r="P29" s="365">
        <v>229579</v>
      </c>
      <c r="Q29" s="365">
        <v>32146</v>
      </c>
      <c r="R29" s="365">
        <v>6161</v>
      </c>
      <c r="S29" s="365">
        <f t="shared" si="1"/>
        <v>229579</v>
      </c>
      <c r="T29" s="365">
        <f t="shared" si="2"/>
        <v>229579</v>
      </c>
      <c r="U29" s="364">
        <v>46150</v>
      </c>
      <c r="V29" s="365"/>
      <c r="W29" s="364" t="s">
        <v>46</v>
      </c>
      <c r="X29" s="363">
        <f t="shared" si="3"/>
        <v>20</v>
      </c>
    </row>
    <row r="30" spans="1:24" ht="15">
      <c r="A30" s="363">
        <v>1</v>
      </c>
      <c r="B30" s="363">
        <v>5975562210</v>
      </c>
      <c r="C30" s="364">
        <v>46124</v>
      </c>
      <c r="D30" s="364">
        <v>46126</v>
      </c>
      <c r="E30" s="364">
        <v>46121</v>
      </c>
      <c r="F30" s="363">
        <v>2</v>
      </c>
      <c r="G30" s="363" t="s">
        <v>158</v>
      </c>
      <c r="H30" s="363" t="s">
        <v>623</v>
      </c>
      <c r="I30" s="363">
        <v>1</v>
      </c>
      <c r="J30" s="363" t="s">
        <v>669</v>
      </c>
      <c r="K30" s="363" t="s">
        <v>620</v>
      </c>
      <c r="L30" s="363">
        <v>2</v>
      </c>
      <c r="M30" s="363">
        <v>0</v>
      </c>
      <c r="N30" s="365">
        <v>35160</v>
      </c>
      <c r="O30" s="365">
        <v>6083</v>
      </c>
      <c r="P30" s="365">
        <v>29077</v>
      </c>
      <c r="Q30" s="365">
        <v>5274</v>
      </c>
      <c r="R30" s="365">
        <v>809</v>
      </c>
      <c r="S30" s="365">
        <f t="shared" si="1"/>
        <v>29077</v>
      </c>
      <c r="T30" s="365">
        <f t="shared" si="2"/>
        <v>29077</v>
      </c>
      <c r="U30" s="364">
        <v>46150</v>
      </c>
      <c r="V30" s="365"/>
      <c r="W30" s="364" t="s">
        <v>46</v>
      </c>
      <c r="X30" s="363">
        <f t="shared" si="3"/>
        <v>4</v>
      </c>
    </row>
    <row r="31" spans="1:24" ht="15">
      <c r="A31" s="363">
        <v>1</v>
      </c>
      <c r="B31" s="363">
        <v>5590323922</v>
      </c>
      <c r="C31" s="364">
        <v>46125</v>
      </c>
      <c r="D31" s="364">
        <v>46130</v>
      </c>
      <c r="E31" s="364">
        <v>46058</v>
      </c>
      <c r="F31" s="363">
        <v>5</v>
      </c>
      <c r="G31" s="363" t="s">
        <v>158</v>
      </c>
      <c r="H31" s="363" t="s">
        <v>613</v>
      </c>
      <c r="I31" s="363">
        <v>1</v>
      </c>
      <c r="J31" s="363" t="s">
        <v>668</v>
      </c>
      <c r="K31" s="363" t="s">
        <v>646</v>
      </c>
      <c r="L31" s="363">
        <v>2</v>
      </c>
      <c r="M31" s="363">
        <v>1</v>
      </c>
      <c r="N31" s="365">
        <v>193650</v>
      </c>
      <c r="O31" s="365">
        <v>27692</v>
      </c>
      <c r="P31" s="365">
        <v>165958</v>
      </c>
      <c r="Q31" s="365">
        <v>23238</v>
      </c>
      <c r="R31" s="365">
        <v>4454</v>
      </c>
      <c r="S31" s="365">
        <f t="shared" si="1"/>
        <v>165958</v>
      </c>
      <c r="T31" s="365">
        <f t="shared" si="2"/>
        <v>165958</v>
      </c>
      <c r="U31" s="364">
        <v>46150</v>
      </c>
      <c r="V31" s="365"/>
      <c r="W31" s="364" t="s">
        <v>46</v>
      </c>
      <c r="X31" s="363">
        <f t="shared" si="3"/>
        <v>15</v>
      </c>
    </row>
    <row r="32" spans="1:24" ht="15">
      <c r="A32" s="363">
        <v>1</v>
      </c>
      <c r="B32" s="363">
        <v>6798509552</v>
      </c>
      <c r="C32" s="364">
        <v>46127</v>
      </c>
      <c r="D32" s="364">
        <v>46131</v>
      </c>
      <c r="E32" s="364">
        <v>46111</v>
      </c>
      <c r="F32" s="363">
        <v>4</v>
      </c>
      <c r="G32" s="363" t="s">
        <v>158</v>
      </c>
      <c r="H32" s="363" t="s">
        <v>623</v>
      </c>
      <c r="I32" s="363">
        <v>1</v>
      </c>
      <c r="J32" s="363" t="s">
        <v>667</v>
      </c>
      <c r="K32" s="363" t="s">
        <v>624</v>
      </c>
      <c r="L32" s="363">
        <v>2</v>
      </c>
      <c r="M32" s="363">
        <v>0</v>
      </c>
      <c r="N32" s="365">
        <v>132270</v>
      </c>
      <c r="O32" s="365">
        <v>22882</v>
      </c>
      <c r="P32" s="365">
        <v>109388</v>
      </c>
      <c r="Q32" s="365">
        <v>19841</v>
      </c>
      <c r="R32" s="365">
        <v>3042</v>
      </c>
      <c r="S32" s="365">
        <f t="shared" si="1"/>
        <v>109387</v>
      </c>
      <c r="T32" s="365">
        <f t="shared" si="2"/>
        <v>109387</v>
      </c>
      <c r="U32" s="364">
        <v>46150</v>
      </c>
      <c r="V32" s="365"/>
      <c r="W32" s="364" t="s">
        <v>46</v>
      </c>
      <c r="X32" s="363">
        <f t="shared" si="3"/>
        <v>8</v>
      </c>
    </row>
    <row r="33" spans="1:24" ht="15">
      <c r="A33" s="363">
        <v>1</v>
      </c>
      <c r="B33" s="363">
        <v>5840672448</v>
      </c>
      <c r="C33" s="364">
        <v>46128</v>
      </c>
      <c r="D33" s="364">
        <v>46136</v>
      </c>
      <c r="E33" s="364">
        <v>46099</v>
      </c>
      <c r="F33" s="363">
        <v>8</v>
      </c>
      <c r="G33" s="363" t="s">
        <v>158</v>
      </c>
      <c r="H33" s="363" t="s">
        <v>628</v>
      </c>
      <c r="I33" s="363">
        <v>1</v>
      </c>
      <c r="J33" s="363" t="s">
        <v>666</v>
      </c>
      <c r="K33" s="363" t="s">
        <v>615</v>
      </c>
      <c r="L33" s="363">
        <v>4</v>
      </c>
      <c r="M33" s="363">
        <v>1</v>
      </c>
      <c r="N33" s="365">
        <v>406500</v>
      </c>
      <c r="O33" s="365">
        <v>70325</v>
      </c>
      <c r="P33" s="365">
        <v>336175</v>
      </c>
      <c r="Q33" s="365">
        <v>60975</v>
      </c>
      <c r="R33" s="365">
        <v>9350</v>
      </c>
      <c r="S33" s="365">
        <f t="shared" si="1"/>
        <v>336175</v>
      </c>
      <c r="T33" s="365">
        <f t="shared" si="2"/>
        <v>336175</v>
      </c>
      <c r="U33" s="364">
        <v>46150</v>
      </c>
      <c r="V33" s="365"/>
      <c r="W33" s="364" t="s">
        <v>46</v>
      </c>
      <c r="X33" s="363">
        <f t="shared" si="3"/>
        <v>40</v>
      </c>
    </row>
    <row r="34" spans="1:24" ht="15">
      <c r="A34" s="363">
        <v>1</v>
      </c>
      <c r="B34" s="363">
        <v>5796790820</v>
      </c>
      <c r="C34" s="364">
        <v>46129</v>
      </c>
      <c r="D34" s="364">
        <v>46133</v>
      </c>
      <c r="E34" s="364">
        <v>46118</v>
      </c>
      <c r="F34" s="363">
        <v>4</v>
      </c>
      <c r="G34" s="363" t="s">
        <v>158</v>
      </c>
      <c r="H34" s="363" t="s">
        <v>613</v>
      </c>
      <c r="I34" s="363">
        <v>1</v>
      </c>
      <c r="J34" s="363" t="s">
        <v>665</v>
      </c>
      <c r="K34" s="363" t="s">
        <v>642</v>
      </c>
      <c r="L34" s="363">
        <v>2</v>
      </c>
      <c r="M34" s="363">
        <v>0</v>
      </c>
      <c r="N34" s="365">
        <v>126096</v>
      </c>
      <c r="O34" s="365">
        <v>21814</v>
      </c>
      <c r="P34" s="365">
        <v>104282</v>
      </c>
      <c r="Q34" s="365">
        <v>18914</v>
      </c>
      <c r="R34" s="365">
        <v>2900</v>
      </c>
      <c r="S34" s="365">
        <f t="shared" si="1"/>
        <v>104282</v>
      </c>
      <c r="T34" s="365">
        <f t="shared" si="2"/>
        <v>104282</v>
      </c>
      <c r="U34" s="364">
        <v>46150</v>
      </c>
      <c r="V34" s="365"/>
      <c r="W34" s="364" t="s">
        <v>46</v>
      </c>
      <c r="X34" s="363">
        <f t="shared" si="3"/>
        <v>8</v>
      </c>
    </row>
    <row r="35" spans="1:24" ht="15">
      <c r="A35" s="363">
        <v>1</v>
      </c>
      <c r="B35" s="363">
        <v>5301581130</v>
      </c>
      <c r="C35" s="364">
        <v>46130</v>
      </c>
      <c r="D35" s="364">
        <v>46135</v>
      </c>
      <c r="E35" s="364">
        <v>46077</v>
      </c>
      <c r="F35" s="363">
        <v>5</v>
      </c>
      <c r="G35" s="363" t="s">
        <v>158</v>
      </c>
      <c r="H35" s="363" t="s">
        <v>609</v>
      </c>
      <c r="I35" s="363">
        <v>1</v>
      </c>
      <c r="J35" s="363" t="s">
        <v>664</v>
      </c>
      <c r="K35" s="363" t="s">
        <v>620</v>
      </c>
      <c r="L35" s="363">
        <v>3</v>
      </c>
      <c r="M35" s="363">
        <v>0</v>
      </c>
      <c r="N35" s="365">
        <v>196104</v>
      </c>
      <c r="O35" s="365">
        <v>28043</v>
      </c>
      <c r="P35" s="365">
        <v>168061</v>
      </c>
      <c r="Q35" s="365">
        <v>23533</v>
      </c>
      <c r="R35" s="365">
        <v>4510</v>
      </c>
      <c r="S35" s="365">
        <f t="shared" ref="S35:S59" si="4">N35-Q35-R35</f>
        <v>168061</v>
      </c>
      <c r="T35" s="365">
        <f t="shared" ref="T35:T64" si="5">S35</f>
        <v>168061</v>
      </c>
      <c r="U35" s="364">
        <v>46150</v>
      </c>
      <c r="V35" s="365"/>
      <c r="W35" s="364" t="s">
        <v>46</v>
      </c>
      <c r="X35" s="363">
        <f t="shared" ref="X35:X64" si="6">F35*(L35+M35)</f>
        <v>15</v>
      </c>
    </row>
    <row r="36" spans="1:24" ht="15">
      <c r="A36" s="363">
        <v>1</v>
      </c>
      <c r="B36" s="363">
        <v>6959908138</v>
      </c>
      <c r="C36" s="364">
        <v>46130</v>
      </c>
      <c r="D36" s="364">
        <v>46131</v>
      </c>
      <c r="E36" s="364">
        <v>46058</v>
      </c>
      <c r="F36" s="363">
        <v>1</v>
      </c>
      <c r="G36" s="363" t="s">
        <v>158</v>
      </c>
      <c r="H36" s="363" t="s">
        <v>609</v>
      </c>
      <c r="I36" s="363">
        <v>1</v>
      </c>
      <c r="J36" s="363" t="s">
        <v>663</v>
      </c>
      <c r="K36" s="363" t="s">
        <v>615</v>
      </c>
      <c r="L36" s="363">
        <v>3</v>
      </c>
      <c r="M36" s="363">
        <v>0</v>
      </c>
      <c r="N36" s="365">
        <v>54333</v>
      </c>
      <c r="O36" s="365">
        <v>7770</v>
      </c>
      <c r="P36" s="365">
        <v>46563</v>
      </c>
      <c r="Q36" s="365">
        <v>6520</v>
      </c>
      <c r="R36" s="365">
        <v>1250</v>
      </c>
      <c r="S36" s="365">
        <f t="shared" si="4"/>
        <v>46563</v>
      </c>
      <c r="T36" s="365">
        <f t="shared" si="5"/>
        <v>46563</v>
      </c>
      <c r="U36" s="364">
        <v>46150</v>
      </c>
      <c r="V36" s="365"/>
      <c r="W36" s="364" t="s">
        <v>46</v>
      </c>
      <c r="X36" s="363">
        <f t="shared" si="6"/>
        <v>3</v>
      </c>
    </row>
    <row r="37" spans="1:24" ht="15">
      <c r="A37" s="363">
        <v>1</v>
      </c>
      <c r="B37" s="363">
        <v>5953263217</v>
      </c>
      <c r="C37" s="364">
        <v>46130</v>
      </c>
      <c r="D37" s="364">
        <v>46136</v>
      </c>
      <c r="E37" s="364">
        <v>46121</v>
      </c>
      <c r="F37" s="363">
        <v>6</v>
      </c>
      <c r="G37" s="363" t="s">
        <v>158</v>
      </c>
      <c r="H37" s="363" t="s">
        <v>613</v>
      </c>
      <c r="I37" s="363">
        <v>1</v>
      </c>
      <c r="J37" s="363" t="s">
        <v>662</v>
      </c>
      <c r="K37" s="363" t="s">
        <v>624</v>
      </c>
      <c r="L37" s="363">
        <v>2</v>
      </c>
      <c r="M37" s="363">
        <v>0</v>
      </c>
      <c r="N37" s="365">
        <v>143138</v>
      </c>
      <c r="O37" s="365">
        <v>24763</v>
      </c>
      <c r="P37" s="365">
        <v>118375</v>
      </c>
      <c r="Q37" s="365">
        <v>21471</v>
      </c>
      <c r="R37" s="365">
        <v>3292</v>
      </c>
      <c r="S37" s="365">
        <f t="shared" si="4"/>
        <v>118375</v>
      </c>
      <c r="T37" s="365">
        <f t="shared" si="5"/>
        <v>118375</v>
      </c>
      <c r="U37" s="364">
        <v>46150</v>
      </c>
      <c r="V37" s="365"/>
      <c r="W37" s="364" t="s">
        <v>46</v>
      </c>
      <c r="X37" s="363">
        <f t="shared" si="6"/>
        <v>12</v>
      </c>
    </row>
    <row r="38" spans="1:24" ht="15">
      <c r="A38" s="363">
        <v>1</v>
      </c>
      <c r="B38" s="363">
        <v>6867178145</v>
      </c>
      <c r="C38" s="364">
        <v>46131</v>
      </c>
      <c r="D38" s="364">
        <v>46134</v>
      </c>
      <c r="E38" s="364">
        <v>46127</v>
      </c>
      <c r="F38" s="363">
        <v>3</v>
      </c>
      <c r="G38" s="363" t="s">
        <v>158</v>
      </c>
      <c r="H38" s="363" t="s">
        <v>623</v>
      </c>
      <c r="I38" s="363">
        <v>1</v>
      </c>
      <c r="J38" s="363" t="s">
        <v>661</v>
      </c>
      <c r="K38" s="363" t="s">
        <v>649</v>
      </c>
      <c r="L38" s="363">
        <v>2</v>
      </c>
      <c r="M38" s="363">
        <v>0</v>
      </c>
      <c r="N38" s="365">
        <v>45528</v>
      </c>
      <c r="O38" s="365">
        <v>7876</v>
      </c>
      <c r="P38" s="365">
        <v>37652</v>
      </c>
      <c r="Q38" s="365">
        <v>6829</v>
      </c>
      <c r="R38" s="365">
        <v>1047</v>
      </c>
      <c r="S38" s="365">
        <f t="shared" si="4"/>
        <v>37652</v>
      </c>
      <c r="T38" s="365">
        <f t="shared" si="5"/>
        <v>37652</v>
      </c>
      <c r="U38" s="364">
        <v>46150</v>
      </c>
      <c r="V38" s="365"/>
      <c r="W38" s="364" t="s">
        <v>46</v>
      </c>
      <c r="X38" s="363">
        <f t="shared" si="6"/>
        <v>6</v>
      </c>
    </row>
    <row r="39" spans="1:24" ht="15">
      <c r="A39" s="363">
        <v>1</v>
      </c>
      <c r="B39" s="363">
        <v>6001819065</v>
      </c>
      <c r="C39" s="364">
        <v>46131</v>
      </c>
      <c r="D39" s="364">
        <v>46135</v>
      </c>
      <c r="E39" s="364">
        <v>46120</v>
      </c>
      <c r="F39" s="363">
        <v>4</v>
      </c>
      <c r="G39" s="363" t="s">
        <v>158</v>
      </c>
      <c r="H39" s="363" t="s">
        <v>613</v>
      </c>
      <c r="I39" s="363">
        <v>1</v>
      </c>
      <c r="J39" s="363" t="s">
        <v>660</v>
      </c>
      <c r="K39" s="363" t="s">
        <v>659</v>
      </c>
      <c r="L39" s="363">
        <v>2</v>
      </c>
      <c r="M39" s="363">
        <v>0</v>
      </c>
      <c r="N39" s="365">
        <v>65076</v>
      </c>
      <c r="O39" s="365">
        <v>11258</v>
      </c>
      <c r="P39" s="365">
        <v>53818</v>
      </c>
      <c r="Q39" s="365">
        <v>9761</v>
      </c>
      <c r="R39" s="365">
        <v>1497</v>
      </c>
      <c r="S39" s="365">
        <f t="shared" si="4"/>
        <v>53818</v>
      </c>
      <c r="T39" s="365">
        <f t="shared" si="5"/>
        <v>53818</v>
      </c>
      <c r="U39" s="364">
        <v>46150</v>
      </c>
      <c r="V39" s="365"/>
      <c r="W39" s="364" t="s">
        <v>46</v>
      </c>
      <c r="X39" s="363">
        <f t="shared" si="6"/>
        <v>8</v>
      </c>
    </row>
    <row r="40" spans="1:24" ht="15">
      <c r="A40" s="363">
        <v>1</v>
      </c>
      <c r="B40" s="363">
        <v>5729013678</v>
      </c>
      <c r="C40" s="364">
        <v>46132</v>
      </c>
      <c r="D40" s="364">
        <v>46142</v>
      </c>
      <c r="E40" s="364">
        <v>46084</v>
      </c>
      <c r="F40" s="363">
        <v>10</v>
      </c>
      <c r="G40" s="363" t="s">
        <v>158</v>
      </c>
      <c r="H40" s="363" t="s">
        <v>619</v>
      </c>
      <c r="I40" s="363">
        <v>1</v>
      </c>
      <c r="J40" s="363" t="s">
        <v>658</v>
      </c>
      <c r="K40" s="363" t="s">
        <v>657</v>
      </c>
      <c r="L40" s="363">
        <v>2</v>
      </c>
      <c r="M40" s="363">
        <v>1</v>
      </c>
      <c r="N40" s="365">
        <v>390113</v>
      </c>
      <c r="O40" s="365">
        <v>55787</v>
      </c>
      <c r="P40" s="365">
        <v>334326</v>
      </c>
      <c r="Q40" s="365">
        <v>46814</v>
      </c>
      <c r="R40" s="365">
        <v>8973</v>
      </c>
      <c r="S40" s="365">
        <f t="shared" si="4"/>
        <v>334326</v>
      </c>
      <c r="T40" s="365">
        <f t="shared" si="5"/>
        <v>334326</v>
      </c>
      <c r="U40" s="364">
        <v>46150</v>
      </c>
      <c r="V40" s="365"/>
      <c r="W40" s="364" t="s">
        <v>46</v>
      </c>
      <c r="X40" s="363">
        <f t="shared" si="6"/>
        <v>30</v>
      </c>
    </row>
    <row r="41" spans="1:24" ht="15">
      <c r="A41" s="363">
        <v>1</v>
      </c>
      <c r="B41" s="363">
        <v>6894234445</v>
      </c>
      <c r="C41" s="364">
        <v>46132</v>
      </c>
      <c r="D41" s="364">
        <v>46140</v>
      </c>
      <c r="E41" s="364">
        <v>46090</v>
      </c>
      <c r="F41" s="363">
        <v>8</v>
      </c>
      <c r="G41" s="363" t="s">
        <v>158</v>
      </c>
      <c r="H41" s="363" t="s">
        <v>609</v>
      </c>
      <c r="I41" s="363">
        <v>1</v>
      </c>
      <c r="J41" s="363" t="s">
        <v>656</v>
      </c>
      <c r="K41" s="363" t="s">
        <v>655</v>
      </c>
      <c r="L41" s="363">
        <v>3</v>
      </c>
      <c r="M41" s="363">
        <v>0</v>
      </c>
      <c r="N41" s="365">
        <v>302438</v>
      </c>
      <c r="O41" s="365">
        <v>43249</v>
      </c>
      <c r="P41" s="365">
        <v>259189</v>
      </c>
      <c r="Q41" s="365">
        <v>36293</v>
      </c>
      <c r="R41" s="365">
        <v>6956</v>
      </c>
      <c r="S41" s="365">
        <f t="shared" si="4"/>
        <v>259189</v>
      </c>
      <c r="T41" s="365">
        <f t="shared" si="5"/>
        <v>259189</v>
      </c>
      <c r="U41" s="364">
        <v>46150</v>
      </c>
      <c r="V41" s="365"/>
      <c r="W41" s="364" t="s">
        <v>46</v>
      </c>
      <c r="X41" s="363">
        <f t="shared" si="6"/>
        <v>24</v>
      </c>
    </row>
    <row r="42" spans="1:24" ht="15">
      <c r="A42" s="363">
        <v>1</v>
      </c>
      <c r="B42" s="363">
        <v>5339149374</v>
      </c>
      <c r="C42" s="364">
        <v>46133</v>
      </c>
      <c r="D42" s="364">
        <v>46137</v>
      </c>
      <c r="E42" s="364">
        <v>46125</v>
      </c>
      <c r="F42" s="363">
        <v>4</v>
      </c>
      <c r="G42" s="363" t="s">
        <v>158</v>
      </c>
      <c r="H42" s="363" t="s">
        <v>613</v>
      </c>
      <c r="I42" s="363">
        <v>1</v>
      </c>
      <c r="J42" s="363" t="s">
        <v>654</v>
      </c>
      <c r="K42" s="363" t="s">
        <v>653</v>
      </c>
      <c r="L42" s="363">
        <v>2</v>
      </c>
      <c r="M42" s="363">
        <v>0</v>
      </c>
      <c r="N42" s="365">
        <v>76956</v>
      </c>
      <c r="O42" s="365">
        <v>13313</v>
      </c>
      <c r="P42" s="365">
        <v>63643</v>
      </c>
      <c r="Q42" s="365">
        <v>11543</v>
      </c>
      <c r="R42" s="365">
        <v>1770</v>
      </c>
      <c r="S42" s="365">
        <f t="shared" si="4"/>
        <v>63643</v>
      </c>
      <c r="T42" s="365">
        <f t="shared" si="5"/>
        <v>63643</v>
      </c>
      <c r="U42" s="364">
        <v>46150</v>
      </c>
      <c r="V42" s="365"/>
      <c r="W42" s="364" t="s">
        <v>46</v>
      </c>
      <c r="X42" s="363">
        <f t="shared" si="6"/>
        <v>8</v>
      </c>
    </row>
    <row r="43" spans="1:24" ht="15">
      <c r="A43" s="363">
        <v>1</v>
      </c>
      <c r="B43" s="363">
        <v>6300686409</v>
      </c>
      <c r="C43" s="364">
        <v>46134</v>
      </c>
      <c r="D43" s="364">
        <v>46136</v>
      </c>
      <c r="E43" s="364">
        <v>46132</v>
      </c>
      <c r="F43" s="363">
        <v>2</v>
      </c>
      <c r="G43" s="363" t="s">
        <v>158</v>
      </c>
      <c r="H43" s="363" t="s">
        <v>623</v>
      </c>
      <c r="I43" s="363">
        <v>1</v>
      </c>
      <c r="J43" s="363" t="s">
        <v>652</v>
      </c>
      <c r="K43" s="363" t="s">
        <v>642</v>
      </c>
      <c r="L43" s="363">
        <v>2</v>
      </c>
      <c r="M43" s="363">
        <v>0</v>
      </c>
      <c r="N43" s="365">
        <v>35280</v>
      </c>
      <c r="O43" s="365">
        <v>6103</v>
      </c>
      <c r="P43" s="365">
        <v>29177</v>
      </c>
      <c r="Q43" s="365">
        <v>5292</v>
      </c>
      <c r="R43" s="365">
        <v>811</v>
      </c>
      <c r="S43" s="365">
        <f t="shared" si="4"/>
        <v>29177</v>
      </c>
      <c r="T43" s="365">
        <f t="shared" si="5"/>
        <v>29177</v>
      </c>
      <c r="U43" s="364">
        <v>46150</v>
      </c>
      <c r="V43" s="365"/>
      <c r="W43" s="364" t="s">
        <v>46</v>
      </c>
      <c r="X43" s="363">
        <f t="shared" si="6"/>
        <v>4</v>
      </c>
    </row>
    <row r="44" spans="1:24" ht="15">
      <c r="A44" s="363">
        <v>1</v>
      </c>
      <c r="B44" s="363">
        <v>5977639900</v>
      </c>
      <c r="C44" s="364">
        <v>46135</v>
      </c>
      <c r="D44" s="364">
        <v>46139</v>
      </c>
      <c r="E44" s="364">
        <v>46107</v>
      </c>
      <c r="F44" s="363">
        <v>4</v>
      </c>
      <c r="G44" s="363" t="s">
        <v>158</v>
      </c>
      <c r="H44" s="363" t="s">
        <v>609</v>
      </c>
      <c r="I44" s="363">
        <v>1</v>
      </c>
      <c r="J44" s="363" t="s">
        <v>651</v>
      </c>
      <c r="K44" s="363" t="s">
        <v>624</v>
      </c>
      <c r="L44" s="363">
        <v>2</v>
      </c>
      <c r="M44" s="363">
        <v>0</v>
      </c>
      <c r="N44" s="365">
        <v>160667</v>
      </c>
      <c r="O44" s="365">
        <v>27795</v>
      </c>
      <c r="P44" s="365">
        <v>132872</v>
      </c>
      <c r="Q44" s="365">
        <v>24100</v>
      </c>
      <c r="R44" s="365">
        <v>3695</v>
      </c>
      <c r="S44" s="365">
        <f t="shared" si="4"/>
        <v>132872</v>
      </c>
      <c r="T44" s="365">
        <f t="shared" si="5"/>
        <v>132872</v>
      </c>
      <c r="U44" s="364">
        <v>46150</v>
      </c>
      <c r="V44" s="365"/>
      <c r="W44" s="364" t="s">
        <v>46</v>
      </c>
      <c r="X44" s="363">
        <f t="shared" si="6"/>
        <v>8</v>
      </c>
    </row>
    <row r="45" spans="1:24" ht="15">
      <c r="A45" s="363">
        <v>1</v>
      </c>
      <c r="B45" s="363">
        <v>6133714543</v>
      </c>
      <c r="C45" s="364">
        <v>46135</v>
      </c>
      <c r="D45" s="364">
        <v>46140</v>
      </c>
      <c r="E45" s="364">
        <v>46074</v>
      </c>
      <c r="F45" s="363">
        <v>5</v>
      </c>
      <c r="G45" s="363" t="s">
        <v>158</v>
      </c>
      <c r="H45" s="363" t="s">
        <v>613</v>
      </c>
      <c r="I45" s="363">
        <v>1</v>
      </c>
      <c r="J45" s="363" t="s">
        <v>650</v>
      </c>
      <c r="K45" s="363" t="s">
        <v>649</v>
      </c>
      <c r="L45" s="363">
        <v>2</v>
      </c>
      <c r="M45" s="363">
        <v>0</v>
      </c>
      <c r="N45" s="365">
        <v>158622</v>
      </c>
      <c r="O45" s="365">
        <v>22683</v>
      </c>
      <c r="P45" s="365">
        <v>135939</v>
      </c>
      <c r="Q45" s="365">
        <v>19035</v>
      </c>
      <c r="R45" s="365">
        <v>3648</v>
      </c>
      <c r="S45" s="365">
        <f t="shared" si="4"/>
        <v>135939</v>
      </c>
      <c r="T45" s="365">
        <f t="shared" si="5"/>
        <v>135939</v>
      </c>
      <c r="U45" s="364">
        <v>46150</v>
      </c>
      <c r="V45" s="365"/>
      <c r="W45" s="364" t="s">
        <v>46</v>
      </c>
      <c r="X45" s="363">
        <f t="shared" si="6"/>
        <v>10</v>
      </c>
    </row>
    <row r="46" spans="1:24" ht="15">
      <c r="A46" s="363">
        <v>1</v>
      </c>
      <c r="B46" s="363">
        <v>6293677874</v>
      </c>
      <c r="C46" s="364">
        <v>46136</v>
      </c>
      <c r="D46" s="364">
        <v>46139</v>
      </c>
      <c r="E46" s="364">
        <v>46102</v>
      </c>
      <c r="F46" s="363">
        <v>3</v>
      </c>
      <c r="G46" s="363" t="s">
        <v>158</v>
      </c>
      <c r="H46" s="363" t="s">
        <v>623</v>
      </c>
      <c r="I46" s="363">
        <v>1</v>
      </c>
      <c r="J46" s="363" t="s">
        <v>648</v>
      </c>
      <c r="K46" s="363" t="s">
        <v>646</v>
      </c>
      <c r="L46" s="363">
        <v>3</v>
      </c>
      <c r="M46" s="363">
        <v>0</v>
      </c>
      <c r="N46" s="365">
        <v>116624</v>
      </c>
      <c r="O46" s="365">
        <v>20176</v>
      </c>
      <c r="P46" s="365">
        <v>96448</v>
      </c>
      <c r="Q46" s="365">
        <v>17494</v>
      </c>
      <c r="R46" s="365">
        <v>2682</v>
      </c>
      <c r="S46" s="365">
        <f t="shared" si="4"/>
        <v>96448</v>
      </c>
      <c r="T46" s="365">
        <f t="shared" si="5"/>
        <v>96448</v>
      </c>
      <c r="U46" s="364">
        <v>46150</v>
      </c>
      <c r="V46" s="365"/>
      <c r="W46" s="364" t="s">
        <v>46</v>
      </c>
      <c r="X46" s="363">
        <f t="shared" si="6"/>
        <v>9</v>
      </c>
    </row>
    <row r="47" spans="1:24" ht="15">
      <c r="A47" s="363">
        <v>1</v>
      </c>
      <c r="B47" s="363">
        <v>5669619813</v>
      </c>
      <c r="C47" s="364">
        <v>46136</v>
      </c>
      <c r="D47" s="364">
        <v>46139</v>
      </c>
      <c r="E47" s="364">
        <v>46102</v>
      </c>
      <c r="F47" s="363">
        <v>3</v>
      </c>
      <c r="G47" s="363" t="s">
        <v>158</v>
      </c>
      <c r="H47" s="363" t="s">
        <v>613</v>
      </c>
      <c r="I47" s="363">
        <v>1</v>
      </c>
      <c r="J47" s="363" t="s">
        <v>647</v>
      </c>
      <c r="K47" s="363" t="s">
        <v>646</v>
      </c>
      <c r="L47" s="363">
        <v>2</v>
      </c>
      <c r="M47" s="363">
        <v>0</v>
      </c>
      <c r="N47" s="365">
        <v>103578</v>
      </c>
      <c r="O47" s="365">
        <v>17919</v>
      </c>
      <c r="P47" s="365">
        <v>85659</v>
      </c>
      <c r="Q47" s="365">
        <v>15537</v>
      </c>
      <c r="R47" s="365">
        <v>2382</v>
      </c>
      <c r="S47" s="365">
        <f t="shared" si="4"/>
        <v>85659</v>
      </c>
      <c r="T47" s="365">
        <f t="shared" si="5"/>
        <v>85659</v>
      </c>
      <c r="U47" s="364">
        <v>46150</v>
      </c>
      <c r="V47" s="365"/>
      <c r="W47" s="364" t="s">
        <v>46</v>
      </c>
      <c r="X47" s="363">
        <f t="shared" si="6"/>
        <v>6</v>
      </c>
    </row>
    <row r="48" spans="1:24" ht="15">
      <c r="A48" s="363">
        <v>1</v>
      </c>
      <c r="B48" s="363">
        <v>5797685351</v>
      </c>
      <c r="C48" s="364">
        <v>46136</v>
      </c>
      <c r="D48" s="364">
        <v>46139</v>
      </c>
      <c r="E48" s="364">
        <v>46098</v>
      </c>
      <c r="F48" s="363">
        <v>3</v>
      </c>
      <c r="G48" s="363" t="s">
        <v>158</v>
      </c>
      <c r="H48" s="363" t="s">
        <v>623</v>
      </c>
      <c r="I48" s="363">
        <v>1</v>
      </c>
      <c r="J48" s="363" t="s">
        <v>645</v>
      </c>
      <c r="K48" s="363" t="s">
        <v>644</v>
      </c>
      <c r="L48" s="363">
        <v>2</v>
      </c>
      <c r="M48" s="363">
        <v>0</v>
      </c>
      <c r="N48" s="365">
        <v>91095</v>
      </c>
      <c r="O48" s="365">
        <v>15759</v>
      </c>
      <c r="P48" s="365">
        <v>75336</v>
      </c>
      <c r="Q48" s="365">
        <v>13664</v>
      </c>
      <c r="R48" s="365">
        <v>2095</v>
      </c>
      <c r="S48" s="365">
        <f t="shared" si="4"/>
        <v>75336</v>
      </c>
      <c r="T48" s="365">
        <f t="shared" si="5"/>
        <v>75336</v>
      </c>
      <c r="U48" s="364">
        <v>46150</v>
      </c>
      <c r="V48" s="365"/>
      <c r="W48" s="364" t="s">
        <v>46</v>
      </c>
      <c r="X48" s="363">
        <f t="shared" si="6"/>
        <v>6</v>
      </c>
    </row>
    <row r="49" spans="1:24" ht="15">
      <c r="A49" s="363">
        <v>1</v>
      </c>
      <c r="B49" s="363">
        <v>6206369924</v>
      </c>
      <c r="C49" s="364">
        <v>46136</v>
      </c>
      <c r="D49" s="364">
        <v>46138</v>
      </c>
      <c r="E49" s="364">
        <v>46127</v>
      </c>
      <c r="F49" s="363">
        <v>2</v>
      </c>
      <c r="G49" s="363" t="s">
        <v>158</v>
      </c>
      <c r="H49" s="363" t="s">
        <v>628</v>
      </c>
      <c r="I49" s="363">
        <v>1</v>
      </c>
      <c r="J49" s="363" t="s">
        <v>643</v>
      </c>
      <c r="K49" s="363" t="s">
        <v>642</v>
      </c>
      <c r="L49" s="363">
        <v>2</v>
      </c>
      <c r="M49" s="363">
        <v>2</v>
      </c>
      <c r="N49" s="365">
        <v>49200</v>
      </c>
      <c r="O49" s="365">
        <v>8512</v>
      </c>
      <c r="P49" s="365">
        <v>40688</v>
      </c>
      <c r="Q49" s="365">
        <v>7380</v>
      </c>
      <c r="R49" s="365">
        <v>1132</v>
      </c>
      <c r="S49" s="365">
        <f t="shared" si="4"/>
        <v>40688</v>
      </c>
      <c r="T49" s="365">
        <f t="shared" si="5"/>
        <v>40688</v>
      </c>
      <c r="U49" s="364">
        <v>46150</v>
      </c>
      <c r="V49" s="365"/>
      <c r="W49" s="364" t="s">
        <v>46</v>
      </c>
      <c r="X49" s="363">
        <f t="shared" si="6"/>
        <v>8</v>
      </c>
    </row>
    <row r="50" spans="1:24" ht="15">
      <c r="A50" s="363">
        <v>1</v>
      </c>
      <c r="B50" s="363" t="s">
        <v>641</v>
      </c>
      <c r="C50" s="364">
        <v>46111</v>
      </c>
      <c r="D50" s="364">
        <v>46117</v>
      </c>
      <c r="E50" s="364">
        <v>45989</v>
      </c>
      <c r="F50" s="363">
        <v>6</v>
      </c>
      <c r="G50" s="363" t="s">
        <v>96</v>
      </c>
      <c r="H50" s="363" t="s">
        <v>609</v>
      </c>
      <c r="I50" s="363">
        <v>1</v>
      </c>
      <c r="J50" s="363" t="s">
        <v>640</v>
      </c>
      <c r="K50" s="363" t="s">
        <v>624</v>
      </c>
      <c r="L50" s="363">
        <v>2</v>
      </c>
      <c r="M50" s="363">
        <v>2</v>
      </c>
      <c r="N50" s="365">
        <v>364200</v>
      </c>
      <c r="O50" s="365">
        <v>56451</v>
      </c>
      <c r="P50" s="365">
        <v>307749</v>
      </c>
      <c r="Q50" s="365">
        <v>56451</v>
      </c>
      <c r="R50" s="365">
        <v>0</v>
      </c>
      <c r="S50" s="365">
        <f t="shared" si="4"/>
        <v>307749</v>
      </c>
      <c r="T50" s="365">
        <f t="shared" si="5"/>
        <v>307749</v>
      </c>
      <c r="U50" s="364">
        <v>46113</v>
      </c>
      <c r="V50" s="365"/>
      <c r="W50" s="364" t="s">
        <v>46</v>
      </c>
      <c r="X50" s="363">
        <f t="shared" si="6"/>
        <v>24</v>
      </c>
    </row>
    <row r="51" spans="1:24" ht="15">
      <c r="A51" s="363">
        <v>1</v>
      </c>
      <c r="B51" s="363" t="s">
        <v>639</v>
      </c>
      <c r="C51" s="364">
        <v>46132</v>
      </c>
      <c r="D51" s="364">
        <v>46136</v>
      </c>
      <c r="E51" s="364">
        <v>46129</v>
      </c>
      <c r="F51" s="363">
        <v>4</v>
      </c>
      <c r="G51" s="363" t="s">
        <v>96</v>
      </c>
      <c r="H51" s="363" t="s">
        <v>623</v>
      </c>
      <c r="I51" s="363">
        <v>1</v>
      </c>
      <c r="J51" s="363" t="s">
        <v>638</v>
      </c>
      <c r="K51" s="363" t="s">
        <v>637</v>
      </c>
      <c r="L51" s="363">
        <v>2</v>
      </c>
      <c r="M51" s="363">
        <v>0</v>
      </c>
      <c r="N51" s="365">
        <v>62120</v>
      </c>
      <c r="O51" s="365">
        <v>9629</v>
      </c>
      <c r="P51" s="365">
        <v>52491</v>
      </c>
      <c r="Q51" s="365">
        <v>9629</v>
      </c>
      <c r="R51" s="365">
        <v>0</v>
      </c>
      <c r="S51" s="365">
        <f t="shared" si="4"/>
        <v>52491</v>
      </c>
      <c r="T51" s="365">
        <f t="shared" si="5"/>
        <v>52491</v>
      </c>
      <c r="U51" s="364">
        <v>46134</v>
      </c>
      <c r="V51" s="365"/>
      <c r="W51" s="364" t="s">
        <v>46</v>
      </c>
      <c r="X51" s="363">
        <f t="shared" si="6"/>
        <v>8</v>
      </c>
    </row>
    <row r="52" spans="1:24" ht="15">
      <c r="A52" s="363">
        <v>1</v>
      </c>
      <c r="B52" s="363" t="s">
        <v>636</v>
      </c>
      <c r="C52" s="364">
        <v>46137</v>
      </c>
      <c r="D52" s="364">
        <v>46139</v>
      </c>
      <c r="E52" s="364">
        <v>46133</v>
      </c>
      <c r="F52" s="363">
        <v>2</v>
      </c>
      <c r="G52" s="363" t="s">
        <v>96</v>
      </c>
      <c r="H52" s="363" t="s">
        <v>613</v>
      </c>
      <c r="I52" s="363">
        <v>1</v>
      </c>
      <c r="J52" s="363" t="s">
        <v>635</v>
      </c>
      <c r="K52" s="363" t="s">
        <v>634</v>
      </c>
      <c r="L52" s="363">
        <v>2</v>
      </c>
      <c r="M52" s="363">
        <v>0</v>
      </c>
      <c r="N52" s="365">
        <v>30808</v>
      </c>
      <c r="O52" s="365">
        <v>4775</v>
      </c>
      <c r="P52" s="365">
        <v>26033</v>
      </c>
      <c r="Q52" s="365">
        <v>4775</v>
      </c>
      <c r="R52" s="365">
        <v>0</v>
      </c>
      <c r="S52" s="365">
        <f t="shared" si="4"/>
        <v>26033</v>
      </c>
      <c r="T52" s="365">
        <f t="shared" si="5"/>
        <v>26033</v>
      </c>
      <c r="U52" s="364">
        <v>46139</v>
      </c>
      <c r="V52" s="365"/>
      <c r="W52" s="364" t="s">
        <v>46</v>
      </c>
      <c r="X52" s="363">
        <f t="shared" si="6"/>
        <v>4</v>
      </c>
    </row>
    <row r="53" spans="1:24" ht="15">
      <c r="A53" s="363">
        <v>1</v>
      </c>
      <c r="B53" s="363">
        <v>602874159</v>
      </c>
      <c r="C53" s="364">
        <v>46116</v>
      </c>
      <c r="D53" s="364">
        <v>46124</v>
      </c>
      <c r="E53" s="364">
        <v>45990</v>
      </c>
      <c r="F53" s="363">
        <v>8</v>
      </c>
      <c r="G53" s="363" t="s">
        <v>42</v>
      </c>
      <c r="H53" s="363" t="s">
        <v>609</v>
      </c>
      <c r="I53" s="363">
        <v>1</v>
      </c>
      <c r="J53" s="363" t="s">
        <v>633</v>
      </c>
      <c r="K53" s="363" t="s">
        <v>632</v>
      </c>
      <c r="L53" s="363">
        <v>2</v>
      </c>
      <c r="M53" s="363">
        <v>1</v>
      </c>
      <c r="N53" s="365">
        <v>435624</v>
      </c>
      <c r="O53" s="365">
        <v>0</v>
      </c>
      <c r="P53" s="365">
        <v>383352</v>
      </c>
      <c r="Q53" s="365">
        <v>52272</v>
      </c>
      <c r="R53" s="365">
        <v>0</v>
      </c>
      <c r="S53" s="365">
        <f t="shared" si="4"/>
        <v>383352</v>
      </c>
      <c r="T53" s="365">
        <f t="shared" si="5"/>
        <v>383352</v>
      </c>
      <c r="U53" s="364"/>
      <c r="V53" s="365"/>
      <c r="W53" s="364" t="s">
        <v>46</v>
      </c>
      <c r="X53" s="363">
        <f t="shared" si="6"/>
        <v>24</v>
      </c>
    </row>
    <row r="54" spans="1:24" ht="15">
      <c r="A54" s="363">
        <v>1</v>
      </c>
      <c r="B54" s="363">
        <v>1704023459</v>
      </c>
      <c r="C54" s="364">
        <v>46116</v>
      </c>
      <c r="D54" s="364">
        <v>46118</v>
      </c>
      <c r="E54" s="364">
        <v>46083</v>
      </c>
      <c r="F54" s="363">
        <v>2</v>
      </c>
      <c r="G54" s="363" t="s">
        <v>42</v>
      </c>
      <c r="H54" s="363" t="s">
        <v>619</v>
      </c>
      <c r="I54" s="363">
        <v>1</v>
      </c>
      <c r="J54" s="363" t="s">
        <v>631</v>
      </c>
      <c r="K54" s="363" t="s">
        <v>620</v>
      </c>
      <c r="L54" s="363">
        <v>3</v>
      </c>
      <c r="M54" s="363">
        <v>0</v>
      </c>
      <c r="N54" s="365">
        <v>139856</v>
      </c>
      <c r="O54" s="365">
        <v>16782</v>
      </c>
      <c r="P54" s="365">
        <v>123074</v>
      </c>
      <c r="Q54" s="365">
        <v>16782</v>
      </c>
      <c r="R54" s="365">
        <v>0</v>
      </c>
      <c r="S54" s="365">
        <f t="shared" si="4"/>
        <v>123074</v>
      </c>
      <c r="T54" s="365">
        <f t="shared" si="5"/>
        <v>123074</v>
      </c>
      <c r="U54" s="364"/>
      <c r="V54" s="365"/>
      <c r="W54" s="364" t="s">
        <v>46</v>
      </c>
      <c r="X54" s="363">
        <f t="shared" si="6"/>
        <v>6</v>
      </c>
    </row>
    <row r="55" spans="1:24" ht="15">
      <c r="A55" s="363">
        <v>1</v>
      </c>
      <c r="B55" s="363">
        <v>1990849871</v>
      </c>
      <c r="C55" s="364">
        <v>46125</v>
      </c>
      <c r="D55" s="364">
        <v>46128</v>
      </c>
      <c r="E55" s="364">
        <v>46093</v>
      </c>
      <c r="F55" s="363">
        <v>3</v>
      </c>
      <c r="G55" s="363" t="s">
        <v>42</v>
      </c>
      <c r="H55" s="363" t="s">
        <v>623</v>
      </c>
      <c r="I55" s="363">
        <v>1</v>
      </c>
      <c r="J55" s="363" t="s">
        <v>630</v>
      </c>
      <c r="K55" s="363" t="s">
        <v>629</v>
      </c>
      <c r="L55" s="363">
        <v>2</v>
      </c>
      <c r="M55" s="363">
        <v>0</v>
      </c>
      <c r="N55" s="365">
        <v>88350</v>
      </c>
      <c r="O55" s="365">
        <v>10602</v>
      </c>
      <c r="P55" s="365">
        <v>77748</v>
      </c>
      <c r="Q55" s="365">
        <v>10602</v>
      </c>
      <c r="R55" s="365">
        <v>0</v>
      </c>
      <c r="S55" s="365">
        <f t="shared" si="4"/>
        <v>77748</v>
      </c>
      <c r="T55" s="365">
        <f t="shared" si="5"/>
        <v>77748</v>
      </c>
      <c r="U55" s="364"/>
      <c r="V55" s="365"/>
      <c r="W55" s="364" t="s">
        <v>46</v>
      </c>
      <c r="X55" s="363">
        <f t="shared" si="6"/>
        <v>6</v>
      </c>
    </row>
    <row r="56" spans="1:24" ht="15">
      <c r="A56" s="363">
        <v>1</v>
      </c>
      <c r="B56" s="363">
        <v>2392389259</v>
      </c>
      <c r="C56" s="364">
        <v>46111</v>
      </c>
      <c r="D56" s="364">
        <v>46115</v>
      </c>
      <c r="E56" s="364">
        <v>46066</v>
      </c>
      <c r="F56" s="363">
        <v>4</v>
      </c>
      <c r="G56" s="363" t="s">
        <v>132</v>
      </c>
      <c r="H56" s="363" t="s">
        <v>628</v>
      </c>
      <c r="I56" s="363">
        <v>1</v>
      </c>
      <c r="J56" s="363" t="s">
        <v>627</v>
      </c>
      <c r="K56" s="363" t="s">
        <v>624</v>
      </c>
      <c r="L56" s="363">
        <v>3</v>
      </c>
      <c r="M56" s="363">
        <v>0</v>
      </c>
      <c r="N56" s="365">
        <v>276588</v>
      </c>
      <c r="O56" s="365">
        <v>48596</v>
      </c>
      <c r="P56" s="365">
        <v>227992</v>
      </c>
      <c r="Q56" s="365">
        <v>48596</v>
      </c>
      <c r="R56" s="365">
        <v>0</v>
      </c>
      <c r="S56" s="365">
        <f t="shared" si="4"/>
        <v>227992</v>
      </c>
      <c r="T56" s="365">
        <f t="shared" si="5"/>
        <v>227992</v>
      </c>
      <c r="U56" s="364"/>
      <c r="V56" s="365"/>
      <c r="W56" s="364" t="s">
        <v>46</v>
      </c>
      <c r="X56" s="363">
        <f t="shared" si="6"/>
        <v>12</v>
      </c>
    </row>
    <row r="57" spans="1:24" ht="15">
      <c r="A57" s="363">
        <v>1</v>
      </c>
      <c r="B57" s="363">
        <v>2366141968</v>
      </c>
      <c r="C57" s="364">
        <v>46125</v>
      </c>
      <c r="D57" s="364">
        <v>46130</v>
      </c>
      <c r="E57" s="364">
        <v>46030</v>
      </c>
      <c r="F57" s="363">
        <v>5</v>
      </c>
      <c r="G57" s="363" t="s">
        <v>132</v>
      </c>
      <c r="H57" s="363" t="s">
        <v>609</v>
      </c>
      <c r="I57" s="363">
        <v>1</v>
      </c>
      <c r="J57" s="363" t="s">
        <v>626</v>
      </c>
      <c r="K57" s="363" t="s">
        <v>624</v>
      </c>
      <c r="L57" s="363">
        <v>3</v>
      </c>
      <c r="M57" s="363">
        <v>0</v>
      </c>
      <c r="N57" s="365">
        <v>248265</v>
      </c>
      <c r="O57" s="365">
        <v>43500</v>
      </c>
      <c r="P57" s="365">
        <v>204765</v>
      </c>
      <c r="Q57" s="365">
        <v>43500</v>
      </c>
      <c r="R57" s="365">
        <v>0</v>
      </c>
      <c r="S57" s="365">
        <f t="shared" si="4"/>
        <v>204765</v>
      </c>
      <c r="T57" s="365">
        <f t="shared" si="5"/>
        <v>204765</v>
      </c>
      <c r="U57" s="364"/>
      <c r="V57" s="365"/>
      <c r="W57" s="364" t="s">
        <v>46</v>
      </c>
      <c r="X57" s="363">
        <f t="shared" si="6"/>
        <v>15</v>
      </c>
    </row>
    <row r="58" spans="1:24" ht="15">
      <c r="A58" s="363">
        <v>1</v>
      </c>
      <c r="B58" s="363">
        <v>2433931511</v>
      </c>
      <c r="C58" s="364">
        <v>46126</v>
      </c>
      <c r="D58" s="364">
        <v>46129</v>
      </c>
      <c r="E58" s="364">
        <v>46121</v>
      </c>
      <c r="F58" s="363">
        <v>3</v>
      </c>
      <c r="G58" s="363" t="s">
        <v>132</v>
      </c>
      <c r="H58" s="363" t="s">
        <v>613</v>
      </c>
      <c r="I58" s="363">
        <v>1</v>
      </c>
      <c r="J58" s="363" t="s">
        <v>625</v>
      </c>
      <c r="K58" s="363" t="s">
        <v>624</v>
      </c>
      <c r="L58" s="363">
        <v>1</v>
      </c>
      <c r="M58" s="363">
        <v>0</v>
      </c>
      <c r="N58" s="365">
        <v>69652</v>
      </c>
      <c r="O58" s="365">
        <v>11350</v>
      </c>
      <c r="P58" s="365">
        <v>58302</v>
      </c>
      <c r="Q58" s="365">
        <v>11350</v>
      </c>
      <c r="R58" s="365">
        <v>0</v>
      </c>
      <c r="S58" s="365">
        <f t="shared" si="4"/>
        <v>58302</v>
      </c>
      <c r="T58" s="365">
        <f t="shared" si="5"/>
        <v>58302</v>
      </c>
      <c r="U58" s="364"/>
      <c r="V58" s="365"/>
      <c r="W58" s="364" t="s">
        <v>46</v>
      </c>
      <c r="X58" s="363">
        <f t="shared" si="6"/>
        <v>3</v>
      </c>
    </row>
    <row r="59" spans="1:24" ht="15">
      <c r="A59" s="363">
        <v>1</v>
      </c>
      <c r="B59" s="363">
        <v>2386183057</v>
      </c>
      <c r="C59" s="364">
        <v>46129</v>
      </c>
      <c r="D59" s="364">
        <v>46132</v>
      </c>
      <c r="E59" s="364">
        <v>46058</v>
      </c>
      <c r="F59" s="363">
        <v>3</v>
      </c>
      <c r="G59" s="363" t="s">
        <v>132</v>
      </c>
      <c r="H59" s="363" t="s">
        <v>623</v>
      </c>
      <c r="I59" s="363">
        <v>1</v>
      </c>
      <c r="J59" s="363" t="s">
        <v>622</v>
      </c>
      <c r="K59" s="363" t="s">
        <v>607</v>
      </c>
      <c r="L59" s="363">
        <v>2</v>
      </c>
      <c r="M59" s="363">
        <v>0</v>
      </c>
      <c r="N59" s="365">
        <v>130125</v>
      </c>
      <c r="O59" s="365">
        <v>22236</v>
      </c>
      <c r="P59" s="365">
        <v>107889</v>
      </c>
      <c r="Q59" s="365">
        <v>22236</v>
      </c>
      <c r="R59" s="365">
        <v>0</v>
      </c>
      <c r="S59" s="365">
        <f t="shared" si="4"/>
        <v>107889</v>
      </c>
      <c r="T59" s="365">
        <f t="shared" si="5"/>
        <v>107889</v>
      </c>
      <c r="U59" s="364"/>
      <c r="V59" s="365"/>
      <c r="W59" s="364" t="s">
        <v>46</v>
      </c>
      <c r="X59" s="363">
        <f t="shared" si="6"/>
        <v>6</v>
      </c>
    </row>
    <row r="60" spans="1:24" ht="15">
      <c r="A60" s="363">
        <v>1</v>
      </c>
      <c r="B60" s="363">
        <v>20251109180515</v>
      </c>
      <c r="C60" s="364">
        <v>46107</v>
      </c>
      <c r="D60" s="364">
        <v>46116</v>
      </c>
      <c r="E60" s="364">
        <v>45970</v>
      </c>
      <c r="F60" s="363">
        <v>9</v>
      </c>
      <c r="G60" s="363" t="s">
        <v>136</v>
      </c>
      <c r="H60" s="363" t="s">
        <v>619</v>
      </c>
      <c r="I60" s="363">
        <v>1</v>
      </c>
      <c r="J60" s="363" t="s">
        <v>621</v>
      </c>
      <c r="K60" s="363" t="s">
        <v>620</v>
      </c>
      <c r="L60" s="363">
        <v>3</v>
      </c>
      <c r="M60" s="363">
        <v>0</v>
      </c>
      <c r="N60" s="365">
        <v>529800</v>
      </c>
      <c r="O60" s="365">
        <v>0</v>
      </c>
      <c r="P60" s="365">
        <v>466944</v>
      </c>
      <c r="Q60" s="365">
        <v>62856</v>
      </c>
      <c r="R60" s="365">
        <v>0</v>
      </c>
      <c r="S60" s="365">
        <v>466944</v>
      </c>
      <c r="T60" s="365">
        <f t="shared" si="5"/>
        <v>466944</v>
      </c>
      <c r="U60" s="364">
        <v>46160</v>
      </c>
      <c r="V60" s="365"/>
      <c r="W60" s="364" t="s">
        <v>46</v>
      </c>
      <c r="X60" s="363">
        <f t="shared" si="6"/>
        <v>27</v>
      </c>
    </row>
    <row r="61" spans="1:24" ht="15">
      <c r="A61" s="363">
        <v>1</v>
      </c>
      <c r="B61" s="363">
        <v>1385430633913860</v>
      </c>
      <c r="C61" s="364">
        <v>46129</v>
      </c>
      <c r="D61" s="364">
        <v>46131</v>
      </c>
      <c r="E61" s="364">
        <v>46065</v>
      </c>
      <c r="F61" s="363">
        <v>2</v>
      </c>
      <c r="G61" s="363" t="s">
        <v>136</v>
      </c>
      <c r="H61" s="363" t="s">
        <v>619</v>
      </c>
      <c r="I61" s="363">
        <v>1</v>
      </c>
      <c r="J61" s="363" t="s">
        <v>618</v>
      </c>
      <c r="K61" s="363" t="s">
        <v>615</v>
      </c>
      <c r="L61" s="363">
        <v>4</v>
      </c>
      <c r="M61" s="363">
        <v>0</v>
      </c>
      <c r="N61" s="365">
        <v>118880</v>
      </c>
      <c r="O61" s="365">
        <v>0</v>
      </c>
      <c r="P61" s="365">
        <v>105334</v>
      </c>
      <c r="Q61" s="365">
        <v>13546</v>
      </c>
      <c r="R61" s="365">
        <v>0</v>
      </c>
      <c r="S61" s="365">
        <f>N61-Q61-R61</f>
        <v>105334</v>
      </c>
      <c r="T61" s="365">
        <f t="shared" si="5"/>
        <v>105334</v>
      </c>
      <c r="U61" s="364"/>
      <c r="V61" s="365"/>
      <c r="W61" s="364" t="s">
        <v>46</v>
      </c>
      <c r="X61" s="363">
        <f t="shared" si="6"/>
        <v>8</v>
      </c>
    </row>
    <row r="62" spans="1:24" ht="15">
      <c r="A62" s="363">
        <v>1</v>
      </c>
      <c r="B62" s="363" t="s">
        <v>617</v>
      </c>
      <c r="C62" s="364">
        <v>46129</v>
      </c>
      <c r="D62" s="364">
        <v>46131</v>
      </c>
      <c r="E62" s="364">
        <v>46065</v>
      </c>
      <c r="F62" s="363">
        <v>2</v>
      </c>
      <c r="G62" s="363" t="s">
        <v>315</v>
      </c>
      <c r="H62" s="363" t="s">
        <v>613</v>
      </c>
      <c r="I62" s="363">
        <v>1</v>
      </c>
      <c r="J62" s="363" t="s">
        <v>616</v>
      </c>
      <c r="K62" s="363" t="s">
        <v>615</v>
      </c>
      <c r="L62" s="363">
        <v>2</v>
      </c>
      <c r="M62" s="363">
        <v>0</v>
      </c>
      <c r="N62" s="365">
        <v>55600</v>
      </c>
      <c r="O62" s="365">
        <v>0</v>
      </c>
      <c r="P62" s="365">
        <v>55600</v>
      </c>
      <c r="Q62" s="365">
        <v>6060</v>
      </c>
      <c r="R62" s="365">
        <v>0</v>
      </c>
      <c r="S62" s="365">
        <f>N62-Q62-R62-V62</f>
        <v>49540</v>
      </c>
      <c r="T62" s="365">
        <f t="shared" si="5"/>
        <v>49540</v>
      </c>
      <c r="U62" s="364">
        <v>46162</v>
      </c>
      <c r="V62" s="365"/>
      <c r="W62" s="364" t="s">
        <v>606</v>
      </c>
      <c r="X62" s="363">
        <f t="shared" si="6"/>
        <v>4</v>
      </c>
    </row>
    <row r="63" spans="1:24" ht="15">
      <c r="A63" s="363">
        <v>1</v>
      </c>
      <c r="B63" s="363" t="s">
        <v>614</v>
      </c>
      <c r="C63" s="364">
        <v>46126</v>
      </c>
      <c r="D63" s="364">
        <v>46129</v>
      </c>
      <c r="E63" s="364">
        <v>46122</v>
      </c>
      <c r="F63" s="363">
        <v>3</v>
      </c>
      <c r="G63" s="363" t="s">
        <v>610</v>
      </c>
      <c r="H63" s="363" t="s">
        <v>613</v>
      </c>
      <c r="I63" s="363">
        <v>1</v>
      </c>
      <c r="J63" s="363" t="s">
        <v>612</v>
      </c>
      <c r="K63" s="363" t="s">
        <v>607</v>
      </c>
      <c r="L63" s="363">
        <v>2</v>
      </c>
      <c r="M63" s="363">
        <v>0</v>
      </c>
      <c r="N63" s="365">
        <v>60000</v>
      </c>
      <c r="O63" s="365">
        <v>0</v>
      </c>
      <c r="P63" s="365">
        <v>60000</v>
      </c>
      <c r="Q63" s="365">
        <v>0</v>
      </c>
      <c r="R63" s="365">
        <v>0</v>
      </c>
      <c r="S63" s="365">
        <f>N63-Q63-R63</f>
        <v>60000</v>
      </c>
      <c r="T63" s="365">
        <f t="shared" si="5"/>
        <v>60000</v>
      </c>
      <c r="U63" s="364">
        <v>46162</v>
      </c>
      <c r="V63" s="365"/>
      <c r="W63" s="364" t="s">
        <v>606</v>
      </c>
      <c r="X63" s="363">
        <f t="shared" si="6"/>
        <v>6</v>
      </c>
    </row>
    <row r="64" spans="1:24" ht="15">
      <c r="A64" s="363">
        <v>1</v>
      </c>
      <c r="B64" s="363" t="s">
        <v>611</v>
      </c>
      <c r="C64" s="364">
        <v>46129</v>
      </c>
      <c r="D64" s="364">
        <v>46130</v>
      </c>
      <c r="E64" s="364">
        <v>46122</v>
      </c>
      <c r="F64" s="363">
        <v>1</v>
      </c>
      <c r="G64" s="363" t="s">
        <v>610</v>
      </c>
      <c r="H64" s="363" t="s">
        <v>609</v>
      </c>
      <c r="I64" s="363">
        <v>1</v>
      </c>
      <c r="J64" s="363" t="s">
        <v>608</v>
      </c>
      <c r="K64" s="363" t="s">
        <v>607</v>
      </c>
      <c r="L64" s="363">
        <v>3</v>
      </c>
      <c r="M64" s="363">
        <v>0</v>
      </c>
      <c r="N64" s="365">
        <v>20000</v>
      </c>
      <c r="O64" s="365">
        <v>0</v>
      </c>
      <c r="P64" s="365">
        <v>20000</v>
      </c>
      <c r="Q64" s="365">
        <v>0</v>
      </c>
      <c r="R64" s="365">
        <v>0</v>
      </c>
      <c r="S64" s="365">
        <f>N64-Q64-R64</f>
        <v>20000</v>
      </c>
      <c r="T64" s="365">
        <f t="shared" si="5"/>
        <v>20000</v>
      </c>
      <c r="U64" s="364">
        <v>46162</v>
      </c>
      <c r="V64" s="365"/>
      <c r="W64" s="364" t="s">
        <v>606</v>
      </c>
      <c r="X64" s="363">
        <f t="shared" si="6"/>
        <v>3</v>
      </c>
    </row>
  </sheetData>
  <autoFilter ref="A2:X64" xr:uid="{B2CE75A5-FA7F-0B4C-8866-99F37311AB49}"/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A03E-6946-0A4E-BF04-A4A4C3398CBB}">
  <sheetPr>
    <tabColor theme="5" tint="0.59999389629810485"/>
    <pageSetUpPr fitToPage="1"/>
  </sheetPr>
  <dimension ref="B2:W30"/>
  <sheetViews>
    <sheetView zoomScale="67" workbookViewId="0">
      <selection activeCell="G44" sqref="G44"/>
    </sheetView>
  </sheetViews>
  <sheetFormatPr baseColWidth="10" defaultColWidth="9.33203125" defaultRowHeight="15"/>
  <cols>
    <col min="1" max="1" width="5.83203125" style="96" customWidth="1"/>
    <col min="2" max="2" width="33.6640625" style="96" customWidth="1"/>
    <col min="3" max="3" width="15" style="75" customWidth="1"/>
    <col min="4" max="4" width="1.1640625" style="96" customWidth="1"/>
    <col min="5" max="8" width="15.83203125" style="96" customWidth="1"/>
    <col min="9" max="9" width="1.5" style="96" customWidth="1"/>
    <col min="10" max="10" width="9.33203125" style="96"/>
    <col min="11" max="11" width="15" style="96" customWidth="1"/>
    <col min="12" max="12" width="7.83203125" style="96" customWidth="1"/>
    <col min="13" max="13" width="8.5" style="96" customWidth="1"/>
    <col min="14" max="14" width="6.5" style="96" hidden="1" customWidth="1"/>
    <col min="15" max="15" width="13.5" style="96" customWidth="1"/>
    <col min="16" max="16" width="10.33203125" style="96" customWidth="1"/>
    <col min="17" max="17" width="9.33203125" style="96"/>
    <col min="18" max="18" width="8.83203125" style="96" customWidth="1"/>
    <col min="19" max="19" width="10.33203125" style="96" customWidth="1"/>
    <col min="20" max="23" width="13.33203125" style="96" customWidth="1"/>
    <col min="24" max="16384" width="9.33203125" style="96"/>
  </cols>
  <sheetData>
    <row r="2" spans="2:23" ht="39">
      <c r="B2" s="440" t="s">
        <v>713</v>
      </c>
      <c r="C2" s="441"/>
      <c r="D2" s="441"/>
      <c r="E2" s="442"/>
      <c r="F2" s="442"/>
      <c r="G2" s="442"/>
      <c r="H2" s="443"/>
      <c r="J2" s="101" t="s">
        <v>499</v>
      </c>
      <c r="K2" s="102" t="s">
        <v>500</v>
      </c>
      <c r="L2" s="103" t="s">
        <v>476</v>
      </c>
      <c r="M2" s="19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374" t="s">
        <v>465</v>
      </c>
      <c r="C3" s="374"/>
      <c r="D3" s="75"/>
      <c r="E3" s="373" t="s">
        <v>466</v>
      </c>
      <c r="F3" s="372"/>
      <c r="G3" s="372"/>
      <c r="H3" s="371"/>
      <c r="J3" s="109">
        <v>101</v>
      </c>
      <c r="K3" s="446">
        <f>R3/Q3</f>
        <v>2.1111111111111112</v>
      </c>
      <c r="L3" s="450">
        <v>3</v>
      </c>
      <c r="M3" s="452">
        <v>29.9</v>
      </c>
      <c r="N3" s="110">
        <f>L3*M3</f>
        <v>89.699999999999989</v>
      </c>
      <c r="O3" s="454">
        <v>2873204</v>
      </c>
      <c r="P3" s="456">
        <f>Q3/(L3*C22)*100%</f>
        <v>1</v>
      </c>
      <c r="Q3" s="460">
        <v>90</v>
      </c>
      <c r="R3" s="460">
        <v>190</v>
      </c>
      <c r="S3" s="460">
        <f>L3*C22</f>
        <v>90</v>
      </c>
      <c r="T3" s="454">
        <f>O3/Q3</f>
        <v>31924.488888888889</v>
      </c>
      <c r="U3" s="454">
        <f>O3/R3</f>
        <v>15122.126315789474</v>
      </c>
      <c r="V3" s="454">
        <f>O3/S3</f>
        <v>31924.488888888889</v>
      </c>
      <c r="W3" s="462">
        <f>IFERROR(O3/(N3*C22),0)</f>
        <v>1067.7086584912674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714</v>
      </c>
      <c r="G4" s="82" t="s">
        <v>715</v>
      </c>
      <c r="H4" s="83" t="s">
        <v>716</v>
      </c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46113</v>
      </c>
      <c r="D5" s="75"/>
      <c r="E5" s="84" t="s">
        <v>119</v>
      </c>
      <c r="F5" s="86">
        <v>7052658</v>
      </c>
      <c r="G5" s="87">
        <v>47</v>
      </c>
      <c r="H5" s="265">
        <f t="shared" ref="H5:H12" si="0">IFERROR(F5/$F$12,0)</f>
        <v>0.72839029815153611</v>
      </c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46142</v>
      </c>
      <c r="D6" s="75"/>
      <c r="E6" s="90" t="s">
        <v>132</v>
      </c>
      <c r="F6" s="86">
        <v>724630</v>
      </c>
      <c r="G6" s="87">
        <v>4</v>
      </c>
      <c r="H6" s="265">
        <f t="shared" si="0"/>
        <v>7.4838941821586638E-2</v>
      </c>
      <c r="J6" s="111">
        <v>102</v>
      </c>
      <c r="K6" s="449">
        <f>R6/Q6</f>
        <v>2.2000000000000002</v>
      </c>
      <c r="L6" s="451">
        <v>2</v>
      </c>
      <c r="M6" s="453">
        <v>36.700000000000003</v>
      </c>
      <c r="N6" s="87">
        <f>L6*M6</f>
        <v>73.400000000000006</v>
      </c>
      <c r="O6" s="455">
        <v>1672015</v>
      </c>
      <c r="P6" s="459">
        <f>Q6/S6*100%</f>
        <v>0.75</v>
      </c>
      <c r="Q6" s="461">
        <f>45</f>
        <v>45</v>
      </c>
      <c r="R6" s="461">
        <v>99</v>
      </c>
      <c r="S6" s="461">
        <f>L6*C22</f>
        <v>60</v>
      </c>
      <c r="T6" s="455">
        <f>O6/Q6</f>
        <v>37155.888888888891</v>
      </c>
      <c r="U6" s="455">
        <f>O6/R6</f>
        <v>16889.040404040403</v>
      </c>
      <c r="V6" s="455">
        <f>O6/S6</f>
        <v>27866.916666666668</v>
      </c>
      <c r="W6" s="463">
        <f>IFERROR(O6/(N6*C22),0)</f>
        <v>759.3165304268847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663830</v>
      </c>
      <c r="G7" s="87">
        <v>3</v>
      </c>
      <c r="H7" s="265">
        <f t="shared" si="0"/>
        <v>6.8559588685844997E-2</v>
      </c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159</v>
      </c>
      <c r="F8" s="86">
        <v>648680</v>
      </c>
      <c r="G8" s="87">
        <v>2</v>
      </c>
      <c r="H8" s="265">
        <f t="shared" si="0"/>
        <v>6.6994914343633055E-2</v>
      </c>
      <c r="J8" s="111">
        <v>202</v>
      </c>
      <c r="K8" s="449">
        <f>R8/Q8</f>
        <v>3.2692307692307692</v>
      </c>
      <c r="L8" s="451">
        <v>2</v>
      </c>
      <c r="M8" s="453">
        <v>43.1</v>
      </c>
      <c r="N8" s="87">
        <f>L8*M8</f>
        <v>86.2</v>
      </c>
      <c r="O8" s="455">
        <v>2430729</v>
      </c>
      <c r="P8" s="459">
        <f>Q8/S8*100%</f>
        <v>0.8666666666666667</v>
      </c>
      <c r="Q8" s="461">
        <v>52</v>
      </c>
      <c r="R8" s="461">
        <v>170</v>
      </c>
      <c r="S8" s="461">
        <f>L8*C22</f>
        <v>60</v>
      </c>
      <c r="T8" s="455">
        <f>O8/Q8</f>
        <v>46744.788461538461</v>
      </c>
      <c r="U8" s="455">
        <f>O8/R8</f>
        <v>14298.405882352941</v>
      </c>
      <c r="V8" s="455">
        <f>O8/S8</f>
        <v>40512.15</v>
      </c>
      <c r="W8" s="463">
        <f>IFERROR(O8/(N8*C22),0)</f>
        <v>939.95707656612524</v>
      </c>
    </row>
    <row r="9" spans="2:23">
      <c r="B9" s="84" t="s">
        <v>477</v>
      </c>
      <c r="C9" s="91">
        <f>'2026年4月予約一覧表'!N1</f>
        <v>9682526</v>
      </c>
      <c r="D9" s="75"/>
      <c r="E9" s="84" t="s">
        <v>96</v>
      </c>
      <c r="F9" s="86">
        <v>457128</v>
      </c>
      <c r="G9" s="87">
        <v>3</v>
      </c>
      <c r="H9" s="265">
        <f t="shared" si="0"/>
        <v>4.7211647043343852E-2</v>
      </c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'2026年4月予約一覧表'!L1+'2026年4月予約一覧表'!M1</f>
        <v>165</v>
      </c>
      <c r="D10" s="75"/>
      <c r="E10" s="90" t="s">
        <v>712</v>
      </c>
      <c r="F10" s="86">
        <v>80000</v>
      </c>
      <c r="G10" s="87">
        <v>2</v>
      </c>
      <c r="H10" s="265">
        <f t="shared" si="0"/>
        <v>8.2623067575547954E-3</v>
      </c>
      <c r="J10" s="111">
        <v>403</v>
      </c>
      <c r="K10" s="116">
        <f>R10/Q10</f>
        <v>3.2333333333333334</v>
      </c>
      <c r="L10" s="112">
        <v>1</v>
      </c>
      <c r="M10" s="87">
        <v>46.64</v>
      </c>
      <c r="N10" s="87"/>
      <c r="O10" s="86">
        <v>1557290</v>
      </c>
      <c r="P10" s="117">
        <f>Q10/S10*100%</f>
        <v>1</v>
      </c>
      <c r="Q10" s="113">
        <v>30</v>
      </c>
      <c r="R10" s="113">
        <v>97</v>
      </c>
      <c r="S10" s="113">
        <f>L10*C22</f>
        <v>30</v>
      </c>
      <c r="T10" s="86">
        <f>O10/Q10</f>
        <v>51909.666666666664</v>
      </c>
      <c r="U10" s="86">
        <f>O10/R10</f>
        <v>16054.536082474227</v>
      </c>
      <c r="V10" s="86">
        <f>O10/S10</f>
        <v>51909.666666666664</v>
      </c>
      <c r="W10" s="114">
        <f>IFERROR(O10/(M10*C22),0)</f>
        <v>1112.9859919954258</v>
      </c>
    </row>
    <row r="11" spans="2:23">
      <c r="B11" s="84" t="s">
        <v>480</v>
      </c>
      <c r="C11" s="89">
        <f>'2026年4月予約一覧表'!X1</f>
        <v>648</v>
      </c>
      <c r="D11" s="75"/>
      <c r="E11" s="90" t="s">
        <v>479</v>
      </c>
      <c r="F11" s="86">
        <v>55600</v>
      </c>
      <c r="G11" s="87">
        <v>1</v>
      </c>
      <c r="H11" s="265">
        <f t="shared" si="0"/>
        <v>5.742303196500583E-3</v>
      </c>
      <c r="J11" s="118">
        <v>401</v>
      </c>
      <c r="K11" s="119">
        <f>R11/Q11</f>
        <v>4.1818181818181817</v>
      </c>
      <c r="L11" s="120">
        <v>1</v>
      </c>
      <c r="M11" s="121">
        <v>60.22</v>
      </c>
      <c r="N11" s="121"/>
      <c r="O11" s="122">
        <v>1149288</v>
      </c>
      <c r="P11" s="115">
        <f>Q11/S11*100%</f>
        <v>0.73333333333333328</v>
      </c>
      <c r="Q11" s="123">
        <v>22</v>
      </c>
      <c r="R11" s="123">
        <v>92</v>
      </c>
      <c r="S11" s="123">
        <f>L11*C22</f>
        <v>30</v>
      </c>
      <c r="T11" s="122">
        <f>O11/Q11</f>
        <v>52240.36363636364</v>
      </c>
      <c r="U11" s="122">
        <f>O11/R11</f>
        <v>12492.260869565218</v>
      </c>
      <c r="V11" s="122">
        <f>O11/S11</f>
        <v>38309.599999999999</v>
      </c>
      <c r="W11" s="124">
        <f>IFERROR(O11/(M11*C22),0)</f>
        <v>636.16074393889073</v>
      </c>
    </row>
    <row r="12" spans="2:23">
      <c r="B12" s="84" t="s">
        <v>481</v>
      </c>
      <c r="C12" s="89">
        <v>9</v>
      </c>
      <c r="D12" s="75"/>
      <c r="E12" s="92" t="s">
        <v>160</v>
      </c>
      <c r="F12" s="93">
        <f>SUM(F5:F11)</f>
        <v>9682526</v>
      </c>
      <c r="G12" s="94">
        <f>SUM(G5:G11)</f>
        <v>62</v>
      </c>
      <c r="H12" s="95">
        <f t="shared" si="0"/>
        <v>1</v>
      </c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>SUM(O3:O11)</f>
        <v>9682526</v>
      </c>
      <c r="P12" s="129"/>
      <c r="Q12" s="130">
        <f>SUM(Q3:Q11)</f>
        <v>239</v>
      </c>
      <c r="R12" s="130">
        <f>SUM(R3:R11)</f>
        <v>648</v>
      </c>
      <c r="S12" s="130">
        <f>SUM(S3:S11)</f>
        <v>270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270</v>
      </c>
      <c r="D13" s="75"/>
      <c r="P13" s="138"/>
      <c r="Q13" s="139"/>
      <c r="R13" s="444"/>
      <c r="S13" s="445"/>
    </row>
    <row r="14" spans="2:23">
      <c r="B14" s="84" t="s">
        <v>484</v>
      </c>
      <c r="C14" s="89">
        <f>'2026年4月予約一覧表'!F1</f>
        <v>239</v>
      </c>
      <c r="D14" s="75"/>
      <c r="R14" s="375"/>
      <c r="S14" s="375"/>
    </row>
    <row r="15" spans="2:23">
      <c r="B15" s="84" t="s">
        <v>485</v>
      </c>
      <c r="C15" s="89">
        <v>38</v>
      </c>
      <c r="D15" s="75"/>
      <c r="R15" s="375"/>
      <c r="S15" s="375"/>
    </row>
    <row r="16" spans="2:23">
      <c r="B16" s="84" t="s">
        <v>486</v>
      </c>
      <c r="C16" s="89">
        <f>'2026年4月予約一覧表'!A1</f>
        <v>62</v>
      </c>
      <c r="D16" s="75"/>
      <c r="R16" s="375"/>
      <c r="S16" s="375"/>
    </row>
    <row r="17" spans="2:19">
      <c r="B17" s="92" t="s">
        <v>487</v>
      </c>
      <c r="C17" s="97">
        <v>160</v>
      </c>
      <c r="D17" s="75"/>
      <c r="R17" s="375"/>
      <c r="S17" s="375"/>
    </row>
    <row r="18" spans="2:19">
      <c r="B18" s="98" t="s">
        <v>488</v>
      </c>
      <c r="D18" s="75"/>
      <c r="R18" s="375"/>
      <c r="S18" s="375"/>
    </row>
    <row r="19" spans="2:19">
      <c r="B19" s="98" t="s">
        <v>489</v>
      </c>
      <c r="D19" s="75"/>
      <c r="R19" s="375"/>
      <c r="S19" s="375"/>
    </row>
    <row r="20" spans="2:19">
      <c r="B20" s="75"/>
      <c r="D20" s="75"/>
    </row>
    <row r="21" spans="2:19">
      <c r="B21" s="370" t="s">
        <v>490</v>
      </c>
      <c r="C21" s="370"/>
      <c r="D21" s="75"/>
      <c r="E21" s="75"/>
      <c r="F21" s="75"/>
      <c r="G21" s="75"/>
      <c r="H21" s="75"/>
    </row>
    <row r="22" spans="2:19">
      <c r="B22" s="79" t="s">
        <v>491</v>
      </c>
      <c r="C22" s="80">
        <f>DATEDIF(C5,C6,"D")+1</f>
        <v>30</v>
      </c>
      <c r="D22" s="75"/>
      <c r="E22" s="75"/>
      <c r="F22" s="75"/>
      <c r="G22" s="75"/>
      <c r="H22" s="75"/>
    </row>
    <row r="23" spans="2:19">
      <c r="B23" s="84" t="s">
        <v>492</v>
      </c>
      <c r="C23" s="100">
        <f>IFERROR(C14/C13,0)</f>
        <v>0.88518518518518519</v>
      </c>
      <c r="D23" s="75"/>
      <c r="E23" s="75"/>
      <c r="F23" s="75"/>
      <c r="G23" s="75"/>
      <c r="H23" s="75"/>
    </row>
    <row r="24" spans="2:19">
      <c r="B24" s="84" t="s">
        <v>493</v>
      </c>
      <c r="C24" s="91">
        <f>IFERROR(C9/C14,0)</f>
        <v>40512.661087866109</v>
      </c>
      <c r="D24" s="75"/>
      <c r="E24" s="75"/>
      <c r="F24" s="75"/>
      <c r="G24" s="75"/>
      <c r="H24" s="75"/>
    </row>
    <row r="25" spans="2:19">
      <c r="B25" s="84" t="s">
        <v>494</v>
      </c>
      <c r="C25" s="91">
        <f>IFERROR(C9/C11,0)</f>
        <v>14942.16975308642</v>
      </c>
      <c r="D25" s="75"/>
      <c r="E25" s="75"/>
      <c r="F25" s="75"/>
      <c r="G25" s="75"/>
      <c r="H25" s="75"/>
    </row>
    <row r="26" spans="2:19">
      <c r="B26" s="84" t="s">
        <v>495</v>
      </c>
      <c r="C26" s="91">
        <f>IFERROR(C9/C13,0)</f>
        <v>35861.207407407404</v>
      </c>
      <c r="D26" s="75"/>
      <c r="E26" s="75"/>
      <c r="F26" s="75"/>
      <c r="G26" s="75"/>
      <c r="H26" s="75"/>
    </row>
    <row r="27" spans="2:19">
      <c r="B27" s="84" t="s">
        <v>496</v>
      </c>
      <c r="C27" s="91">
        <f>IFERROR(C9/(C7*C22),0)</f>
        <v>906.60355805243444</v>
      </c>
      <c r="D27" s="75"/>
      <c r="E27" s="75"/>
      <c r="F27" s="75"/>
      <c r="G27" s="75"/>
      <c r="H27" s="75"/>
    </row>
    <row r="28" spans="2:19">
      <c r="B28" s="84" t="s">
        <v>497</v>
      </c>
      <c r="C28" s="100">
        <f>IFERROR(C15/C16,0)</f>
        <v>0.61290322580645162</v>
      </c>
      <c r="D28" s="75"/>
      <c r="E28" s="75"/>
      <c r="F28" s="75"/>
      <c r="G28" s="75"/>
      <c r="H28" s="75"/>
    </row>
    <row r="29" spans="2:19">
      <c r="B29" s="92" t="s">
        <v>498</v>
      </c>
      <c r="C29" s="200">
        <f>IFERROR(C17/(C14+C17),0)</f>
        <v>0.40100250626566414</v>
      </c>
      <c r="D29" s="75"/>
      <c r="E29" s="75"/>
      <c r="F29" s="75"/>
      <c r="G29" s="75"/>
      <c r="H29" s="75"/>
    </row>
    <row r="30" spans="2:19">
      <c r="B30" s="75"/>
      <c r="D30" s="75"/>
      <c r="E30" s="75"/>
      <c r="F30" s="75"/>
      <c r="G30" s="75"/>
      <c r="H30" s="75"/>
    </row>
  </sheetData>
  <mergeCells count="38">
    <mergeCell ref="W3:W5"/>
    <mergeCell ref="W6:W7"/>
    <mergeCell ref="W8:W9"/>
    <mergeCell ref="U3:U5"/>
    <mergeCell ref="U6:U7"/>
    <mergeCell ref="U8:U9"/>
    <mergeCell ref="V3:V5"/>
    <mergeCell ref="V6:V7"/>
    <mergeCell ref="V8:V9"/>
    <mergeCell ref="S3:S5"/>
    <mergeCell ref="S6:S7"/>
    <mergeCell ref="S8:S9"/>
    <mergeCell ref="T3:T5"/>
    <mergeCell ref="T6:T7"/>
    <mergeCell ref="T8:T9"/>
    <mergeCell ref="P8:P9"/>
    <mergeCell ref="Q3:Q5"/>
    <mergeCell ref="Q6:Q7"/>
    <mergeCell ref="Q8:Q9"/>
    <mergeCell ref="R3:R5"/>
    <mergeCell ref="R6:R7"/>
    <mergeCell ref="R8:R9"/>
    <mergeCell ref="B2:H2"/>
    <mergeCell ref="R13:S13"/>
    <mergeCell ref="K3:K5"/>
    <mergeCell ref="K6:K7"/>
    <mergeCell ref="K8:K9"/>
    <mergeCell ref="L3:L5"/>
    <mergeCell ref="L6:L7"/>
    <mergeCell ref="L8:L9"/>
    <mergeCell ref="M3:M5"/>
    <mergeCell ref="M6:M7"/>
    <mergeCell ref="M8:M9"/>
    <mergeCell ref="O3:O5"/>
    <mergeCell ref="O6:O7"/>
    <mergeCell ref="O8:O9"/>
    <mergeCell ref="P3:P5"/>
    <mergeCell ref="P6:P7"/>
  </mergeCells>
  <phoneticPr fontId="1"/>
  <pageMargins left="0.7" right="0.7" top="0.75" bottom="0.75" header="0.3" footer="0.3"/>
  <pageSetup paperSize="9" scale="4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E669-81A6-F448-99F5-F856E57D5EB2}">
  <sheetPr>
    <tabColor theme="7" tint="0.79998168889431442"/>
  </sheetPr>
  <dimension ref="B1:XEV77"/>
  <sheetViews>
    <sheetView zoomScale="82" workbookViewId="0">
      <selection activeCell="E89" sqref="E89"/>
    </sheetView>
  </sheetViews>
  <sheetFormatPr baseColWidth="10" defaultColWidth="7.1640625" defaultRowHeight="14"/>
  <cols>
    <col min="1" max="1" width="7.1640625" style="17"/>
    <col min="2" max="3" width="13.5" style="13" customWidth="1"/>
    <col min="4" max="4" width="6.5" style="13" customWidth="1"/>
    <col min="5" max="5" width="8" style="13" customWidth="1"/>
    <col min="6" max="6" width="9.5" style="13" customWidth="1"/>
    <col min="7" max="7" width="25" style="13" customWidth="1"/>
    <col min="8" max="8" width="4.5" style="13" customWidth="1"/>
    <col min="9" max="9" width="21" style="13" customWidth="1"/>
    <col min="10" max="11" width="10.83203125" style="13" customWidth="1"/>
    <col min="12" max="13" width="9.5" style="13" customWidth="1"/>
    <col min="14" max="15" width="12.5" style="13" customWidth="1"/>
    <col min="16" max="17" width="9.1640625" style="13" customWidth="1"/>
    <col min="18" max="16376" width="7.1640625" style="13"/>
    <col min="16377" max="16384" width="7.1640625" style="17"/>
  </cols>
  <sheetData>
    <row r="1" spans="2:17" ht="15" thickBot="1"/>
    <row r="2" spans="2:17" ht="23" customHeight="1" thickBot="1">
      <c r="B2" s="32"/>
      <c r="C2" s="33"/>
      <c r="D2" s="33">
        <f>SUM(D4:D76)</f>
        <v>239</v>
      </c>
      <c r="E2" s="33">
        <f>SUM(E4:E76)</f>
        <v>609</v>
      </c>
      <c r="F2" s="33"/>
      <c r="G2" s="33"/>
      <c r="H2" s="33">
        <f t="shared" ref="H2:J2" si="0">SUM(H4:H76)</f>
        <v>73</v>
      </c>
      <c r="I2" s="33"/>
      <c r="J2" s="33">
        <f t="shared" si="0"/>
        <v>186</v>
      </c>
      <c r="K2" s="34">
        <f>SUM(K4:K77)</f>
        <v>6737353</v>
      </c>
      <c r="L2" s="34">
        <f t="shared" ref="L2:P2" si="1">SUM(L4:L77)</f>
        <v>880342</v>
      </c>
      <c r="M2" s="34">
        <f t="shared" si="1"/>
        <v>29067</v>
      </c>
      <c r="N2" s="34">
        <f t="shared" si="1"/>
        <v>5827944</v>
      </c>
      <c r="O2" s="34">
        <f t="shared" si="1"/>
        <v>5827944</v>
      </c>
      <c r="P2" s="34">
        <f t="shared" si="1"/>
        <v>0</v>
      </c>
      <c r="Q2" s="35"/>
    </row>
    <row r="3" spans="2:17" s="36" customFormat="1" ht="33" customHeight="1">
      <c r="B3" s="55" t="s">
        <v>23</v>
      </c>
      <c r="C3" s="56" t="s">
        <v>24</v>
      </c>
      <c r="D3" s="56" t="s">
        <v>26</v>
      </c>
      <c r="E3" s="73" t="s">
        <v>463</v>
      </c>
      <c r="F3" s="30" t="s">
        <v>27</v>
      </c>
      <c r="G3" s="30" t="s">
        <v>28</v>
      </c>
      <c r="H3" s="30" t="s">
        <v>29</v>
      </c>
      <c r="I3" s="30" t="s">
        <v>30</v>
      </c>
      <c r="J3" s="30" t="s">
        <v>31</v>
      </c>
      <c r="K3" s="30" t="s">
        <v>32</v>
      </c>
      <c r="L3" s="30" t="s">
        <v>33</v>
      </c>
      <c r="M3" s="30" t="s">
        <v>34</v>
      </c>
      <c r="N3" s="30" t="s">
        <v>35</v>
      </c>
      <c r="O3" s="30" t="s">
        <v>36</v>
      </c>
      <c r="P3" s="30" t="s">
        <v>37</v>
      </c>
      <c r="Q3" s="31" t="s">
        <v>38</v>
      </c>
    </row>
    <row r="4" spans="2:17" ht="19" customHeight="1">
      <c r="B4" s="37" t="s">
        <v>39</v>
      </c>
      <c r="C4" s="38" t="s">
        <v>40</v>
      </c>
      <c r="D4" s="39">
        <v>2</v>
      </c>
      <c r="E4" s="39">
        <f>D4*J4</f>
        <v>6</v>
      </c>
      <c r="F4" s="38" t="s">
        <v>42</v>
      </c>
      <c r="G4" s="38" t="s">
        <v>43</v>
      </c>
      <c r="H4" s="39">
        <v>1</v>
      </c>
      <c r="I4" s="38" t="s">
        <v>44</v>
      </c>
      <c r="J4" s="39">
        <v>3</v>
      </c>
      <c r="K4" s="45">
        <v>52560</v>
      </c>
      <c r="L4" s="46">
        <v>6308</v>
      </c>
      <c r="M4" s="46">
        <v>0</v>
      </c>
      <c r="N4" s="39"/>
      <c r="O4" s="45">
        <f t="shared" ref="O4:O35" si="2">K4-L4-M4</f>
        <v>46252</v>
      </c>
      <c r="P4" s="39">
        <v>0</v>
      </c>
      <c r="Q4" s="47" t="s">
        <v>46</v>
      </c>
    </row>
    <row r="5" spans="2:17" ht="19" customHeight="1">
      <c r="B5" s="37" t="s">
        <v>47</v>
      </c>
      <c r="C5" s="38" t="s">
        <v>48</v>
      </c>
      <c r="D5" s="39">
        <v>2</v>
      </c>
      <c r="E5" s="39">
        <f t="shared" ref="E5:E68" si="3">D5*J5</f>
        <v>4</v>
      </c>
      <c r="F5" s="38" t="s">
        <v>42</v>
      </c>
      <c r="G5" s="38" t="s">
        <v>49</v>
      </c>
      <c r="H5" s="39">
        <v>1</v>
      </c>
      <c r="I5" s="38" t="s">
        <v>50</v>
      </c>
      <c r="J5" s="39">
        <v>2</v>
      </c>
      <c r="K5" s="45">
        <v>61160</v>
      </c>
      <c r="L5" s="46">
        <v>7340</v>
      </c>
      <c r="M5" s="46">
        <v>0</v>
      </c>
      <c r="N5" s="39"/>
      <c r="O5" s="45">
        <f t="shared" si="2"/>
        <v>53820</v>
      </c>
      <c r="P5" s="39">
        <v>0</v>
      </c>
      <c r="Q5" s="47" t="s">
        <v>46</v>
      </c>
    </row>
    <row r="6" spans="2:17" ht="19" customHeight="1">
      <c r="B6" s="37" t="s">
        <v>52</v>
      </c>
      <c r="C6" s="38" t="s">
        <v>53</v>
      </c>
      <c r="D6" s="39">
        <v>5</v>
      </c>
      <c r="E6" s="39">
        <f t="shared" si="3"/>
        <v>10</v>
      </c>
      <c r="F6" s="38" t="s">
        <v>42</v>
      </c>
      <c r="G6" s="38" t="s">
        <v>54</v>
      </c>
      <c r="H6" s="39">
        <v>1</v>
      </c>
      <c r="I6" s="38" t="s">
        <v>55</v>
      </c>
      <c r="J6" s="39">
        <v>2</v>
      </c>
      <c r="K6" s="45">
        <v>137150</v>
      </c>
      <c r="L6" s="46">
        <v>16458</v>
      </c>
      <c r="M6" s="46">
        <v>0</v>
      </c>
      <c r="N6" s="39"/>
      <c r="O6" s="45">
        <f t="shared" si="2"/>
        <v>120692</v>
      </c>
      <c r="P6" s="39">
        <v>0</v>
      </c>
      <c r="Q6" s="47" t="s">
        <v>46</v>
      </c>
    </row>
    <row r="7" spans="2:17" ht="19" customHeight="1">
      <c r="B7" s="37" t="s">
        <v>47</v>
      </c>
      <c r="C7" s="38" t="s">
        <v>53</v>
      </c>
      <c r="D7" s="39">
        <v>3</v>
      </c>
      <c r="E7" s="39">
        <f t="shared" si="3"/>
        <v>12</v>
      </c>
      <c r="F7" s="38" t="s">
        <v>42</v>
      </c>
      <c r="G7" s="38" t="s">
        <v>56</v>
      </c>
      <c r="H7" s="39">
        <v>1</v>
      </c>
      <c r="I7" s="38" t="s">
        <v>513</v>
      </c>
      <c r="J7" s="39">
        <v>4</v>
      </c>
      <c r="K7" s="45">
        <v>108000</v>
      </c>
      <c r="L7" s="46">
        <v>12960</v>
      </c>
      <c r="M7" s="46">
        <v>0</v>
      </c>
      <c r="N7" s="39"/>
      <c r="O7" s="45">
        <f t="shared" si="2"/>
        <v>95040</v>
      </c>
      <c r="P7" s="39">
        <v>0</v>
      </c>
      <c r="Q7" s="47" t="s">
        <v>46</v>
      </c>
    </row>
    <row r="8" spans="2:17" ht="19" customHeight="1">
      <c r="B8" s="37" t="s">
        <v>53</v>
      </c>
      <c r="C8" s="38" t="s">
        <v>58</v>
      </c>
      <c r="D8" s="39">
        <v>2</v>
      </c>
      <c r="E8" s="39">
        <f t="shared" si="3"/>
        <v>8</v>
      </c>
      <c r="F8" s="38" t="s">
        <v>42</v>
      </c>
      <c r="G8" s="38" t="s">
        <v>56</v>
      </c>
      <c r="H8" s="39">
        <v>1</v>
      </c>
      <c r="I8" s="38" t="s">
        <v>59</v>
      </c>
      <c r="J8" s="39">
        <v>4</v>
      </c>
      <c r="K8" s="45">
        <v>76000</v>
      </c>
      <c r="L8" s="46">
        <v>9120</v>
      </c>
      <c r="M8" s="46">
        <v>0</v>
      </c>
      <c r="N8" s="39"/>
      <c r="O8" s="45">
        <f t="shared" si="2"/>
        <v>66880</v>
      </c>
      <c r="P8" s="39">
        <v>0</v>
      </c>
      <c r="Q8" s="47" t="s">
        <v>46</v>
      </c>
    </row>
    <row r="9" spans="2:17" ht="19" customHeight="1">
      <c r="B9" s="37" t="s">
        <v>60</v>
      </c>
      <c r="C9" s="38" t="s">
        <v>61</v>
      </c>
      <c r="D9" s="39">
        <v>2</v>
      </c>
      <c r="E9" s="39">
        <f t="shared" si="3"/>
        <v>10</v>
      </c>
      <c r="F9" s="38" t="s">
        <v>42</v>
      </c>
      <c r="G9" s="38" t="s">
        <v>43</v>
      </c>
      <c r="H9" s="39">
        <v>1</v>
      </c>
      <c r="I9" s="38" t="s">
        <v>62</v>
      </c>
      <c r="J9" s="39">
        <v>5</v>
      </c>
      <c r="K9" s="45">
        <v>81712</v>
      </c>
      <c r="L9" s="46">
        <v>9806</v>
      </c>
      <c r="M9" s="46">
        <v>0</v>
      </c>
      <c r="N9" s="39"/>
      <c r="O9" s="45">
        <f t="shared" si="2"/>
        <v>71906</v>
      </c>
      <c r="P9" s="39">
        <v>0</v>
      </c>
      <c r="Q9" s="47" t="s">
        <v>46</v>
      </c>
    </row>
    <row r="10" spans="2:17" ht="19" customHeight="1">
      <c r="B10" s="37" t="s">
        <v>60</v>
      </c>
      <c r="C10" s="38" t="s">
        <v>63</v>
      </c>
      <c r="D10" s="39">
        <v>3</v>
      </c>
      <c r="E10" s="39">
        <f t="shared" si="3"/>
        <v>6</v>
      </c>
      <c r="F10" s="38" t="s">
        <v>42</v>
      </c>
      <c r="G10" s="38" t="s">
        <v>49</v>
      </c>
      <c r="H10" s="39">
        <v>1</v>
      </c>
      <c r="I10" s="38" t="s">
        <v>64</v>
      </c>
      <c r="J10" s="39">
        <v>2</v>
      </c>
      <c r="K10" s="45">
        <v>60048</v>
      </c>
      <c r="L10" s="46">
        <v>7206</v>
      </c>
      <c r="M10" s="46">
        <v>0</v>
      </c>
      <c r="N10" s="39"/>
      <c r="O10" s="45">
        <f t="shared" si="2"/>
        <v>52842</v>
      </c>
      <c r="P10" s="39">
        <v>0</v>
      </c>
      <c r="Q10" s="47" t="s">
        <v>46</v>
      </c>
    </row>
    <row r="11" spans="2:17" ht="19" customHeight="1">
      <c r="B11" s="37" t="s">
        <v>61</v>
      </c>
      <c r="C11" s="38" t="s">
        <v>65</v>
      </c>
      <c r="D11" s="39">
        <v>4</v>
      </c>
      <c r="E11" s="39">
        <f t="shared" si="3"/>
        <v>8</v>
      </c>
      <c r="F11" s="38" t="s">
        <v>42</v>
      </c>
      <c r="G11" s="38" t="s">
        <v>49</v>
      </c>
      <c r="H11" s="39">
        <v>1</v>
      </c>
      <c r="I11" s="38" t="s">
        <v>66</v>
      </c>
      <c r="J11" s="39">
        <v>2</v>
      </c>
      <c r="K11" s="45">
        <v>86620</v>
      </c>
      <c r="L11" s="46">
        <v>10394</v>
      </c>
      <c r="M11" s="46">
        <v>0</v>
      </c>
      <c r="N11" s="39"/>
      <c r="O11" s="45">
        <f t="shared" si="2"/>
        <v>76226</v>
      </c>
      <c r="P11" s="39">
        <v>0</v>
      </c>
      <c r="Q11" s="47" t="s">
        <v>46</v>
      </c>
    </row>
    <row r="12" spans="2:17" ht="19" customHeight="1">
      <c r="B12" s="37" t="s">
        <v>68</v>
      </c>
      <c r="C12" s="38" t="s">
        <v>69</v>
      </c>
      <c r="D12" s="39">
        <v>3</v>
      </c>
      <c r="E12" s="39">
        <f t="shared" si="3"/>
        <v>6</v>
      </c>
      <c r="F12" s="38" t="s">
        <v>42</v>
      </c>
      <c r="G12" s="38" t="s">
        <v>54</v>
      </c>
      <c r="H12" s="39">
        <v>1</v>
      </c>
      <c r="I12" s="38" t="s">
        <v>510</v>
      </c>
      <c r="J12" s="39">
        <v>2</v>
      </c>
      <c r="K12" s="45">
        <v>73200</v>
      </c>
      <c r="L12" s="46">
        <v>8784</v>
      </c>
      <c r="M12" s="46">
        <v>0</v>
      </c>
      <c r="N12" s="39"/>
      <c r="O12" s="45">
        <f t="shared" si="2"/>
        <v>64416</v>
      </c>
      <c r="P12" s="39">
        <v>0</v>
      </c>
      <c r="Q12" s="47" t="s">
        <v>46</v>
      </c>
    </row>
    <row r="13" spans="2:17" ht="19" customHeight="1">
      <c r="B13" s="37" t="s">
        <v>68</v>
      </c>
      <c r="C13" s="38" t="s">
        <v>70</v>
      </c>
      <c r="D13" s="39">
        <v>5</v>
      </c>
      <c r="E13" s="39">
        <f t="shared" si="3"/>
        <v>10</v>
      </c>
      <c r="F13" s="38" t="s">
        <v>42</v>
      </c>
      <c r="G13" s="38" t="s">
        <v>71</v>
      </c>
      <c r="H13" s="39">
        <v>1</v>
      </c>
      <c r="I13" s="38" t="s">
        <v>72</v>
      </c>
      <c r="J13" s="39">
        <v>2</v>
      </c>
      <c r="K13" s="45">
        <v>148220</v>
      </c>
      <c r="L13" s="46">
        <v>17787</v>
      </c>
      <c r="M13" s="46">
        <v>0</v>
      </c>
      <c r="N13" s="39"/>
      <c r="O13" s="45">
        <f t="shared" si="2"/>
        <v>130433</v>
      </c>
      <c r="P13" s="39">
        <v>0</v>
      </c>
      <c r="Q13" s="47" t="s">
        <v>46</v>
      </c>
    </row>
    <row r="14" spans="2:17" ht="19" customHeight="1">
      <c r="B14" s="37" t="s">
        <v>69</v>
      </c>
      <c r="C14" s="38" t="s">
        <v>73</v>
      </c>
      <c r="D14" s="39">
        <v>3</v>
      </c>
      <c r="E14" s="39">
        <f t="shared" si="3"/>
        <v>6</v>
      </c>
      <c r="F14" s="38" t="s">
        <v>42</v>
      </c>
      <c r="G14" s="38" t="s">
        <v>49</v>
      </c>
      <c r="H14" s="39">
        <v>1</v>
      </c>
      <c r="I14" s="38" t="s">
        <v>74</v>
      </c>
      <c r="J14" s="39">
        <v>2</v>
      </c>
      <c r="K14" s="45">
        <v>39360</v>
      </c>
      <c r="L14" s="46">
        <v>4722</v>
      </c>
      <c r="M14" s="46">
        <v>0</v>
      </c>
      <c r="N14" s="39"/>
      <c r="O14" s="45">
        <f t="shared" si="2"/>
        <v>34638</v>
      </c>
      <c r="P14" s="39">
        <v>0</v>
      </c>
      <c r="Q14" s="47" t="s">
        <v>46</v>
      </c>
    </row>
    <row r="15" spans="2:17" ht="19" customHeight="1">
      <c r="B15" s="37" t="s">
        <v>69</v>
      </c>
      <c r="C15" s="38" t="s">
        <v>75</v>
      </c>
      <c r="D15" s="39">
        <v>4</v>
      </c>
      <c r="E15" s="39">
        <f t="shared" si="3"/>
        <v>12</v>
      </c>
      <c r="F15" s="38" t="s">
        <v>42</v>
      </c>
      <c r="G15" s="38" t="s">
        <v>54</v>
      </c>
      <c r="H15" s="39">
        <v>1</v>
      </c>
      <c r="I15" s="38" t="s">
        <v>76</v>
      </c>
      <c r="J15" s="39">
        <v>3</v>
      </c>
      <c r="K15" s="45">
        <v>117012</v>
      </c>
      <c r="L15" s="46">
        <v>14040</v>
      </c>
      <c r="M15" s="46">
        <v>0</v>
      </c>
      <c r="N15" s="39"/>
      <c r="O15" s="45">
        <f t="shared" si="2"/>
        <v>102972</v>
      </c>
      <c r="P15" s="39">
        <v>0</v>
      </c>
      <c r="Q15" s="47" t="s">
        <v>46</v>
      </c>
    </row>
    <row r="16" spans="2:17" ht="19" customHeight="1">
      <c r="B16" s="37" t="s">
        <v>77</v>
      </c>
      <c r="C16" s="38" t="s">
        <v>78</v>
      </c>
      <c r="D16" s="39">
        <v>4</v>
      </c>
      <c r="E16" s="39">
        <f t="shared" si="3"/>
        <v>4</v>
      </c>
      <c r="F16" s="38" t="s">
        <v>42</v>
      </c>
      <c r="G16" s="38" t="s">
        <v>54</v>
      </c>
      <c r="H16" s="39">
        <v>1</v>
      </c>
      <c r="I16" s="38" t="s">
        <v>79</v>
      </c>
      <c r="J16" s="39">
        <v>1</v>
      </c>
      <c r="K16" s="45">
        <v>122000</v>
      </c>
      <c r="L16" s="46">
        <v>14640</v>
      </c>
      <c r="M16" s="46">
        <v>0</v>
      </c>
      <c r="N16" s="39"/>
      <c r="O16" s="45">
        <f t="shared" si="2"/>
        <v>107360</v>
      </c>
      <c r="P16" s="39">
        <v>0</v>
      </c>
      <c r="Q16" s="47" t="s">
        <v>46</v>
      </c>
    </row>
    <row r="17" spans="2:17" ht="19" customHeight="1">
      <c r="B17" s="37" t="s">
        <v>75</v>
      </c>
      <c r="C17" s="38" t="s">
        <v>80</v>
      </c>
      <c r="D17" s="39">
        <v>2</v>
      </c>
      <c r="E17" s="39">
        <f t="shared" si="3"/>
        <v>2</v>
      </c>
      <c r="F17" s="38" t="s">
        <v>42</v>
      </c>
      <c r="G17" s="38" t="s">
        <v>54</v>
      </c>
      <c r="H17" s="39">
        <v>1</v>
      </c>
      <c r="I17" s="38" t="s">
        <v>81</v>
      </c>
      <c r="J17" s="39">
        <v>1</v>
      </c>
      <c r="K17" s="45">
        <v>36500</v>
      </c>
      <c r="L17" s="46">
        <v>4380</v>
      </c>
      <c r="M17" s="46">
        <v>0</v>
      </c>
      <c r="N17" s="39"/>
      <c r="O17" s="45">
        <f t="shared" si="2"/>
        <v>32120</v>
      </c>
      <c r="P17" s="39">
        <v>0</v>
      </c>
      <c r="Q17" s="47" t="s">
        <v>46</v>
      </c>
    </row>
    <row r="18" spans="2:17" ht="19" customHeight="1">
      <c r="B18" s="37" t="s">
        <v>73</v>
      </c>
      <c r="C18" s="38" t="s">
        <v>80</v>
      </c>
      <c r="D18" s="39">
        <v>3</v>
      </c>
      <c r="E18" s="39">
        <f t="shared" si="3"/>
        <v>6</v>
      </c>
      <c r="F18" s="38" t="s">
        <v>42</v>
      </c>
      <c r="G18" s="38" t="s">
        <v>49</v>
      </c>
      <c r="H18" s="39">
        <v>1</v>
      </c>
      <c r="I18" s="38" t="s">
        <v>82</v>
      </c>
      <c r="J18" s="39">
        <v>2</v>
      </c>
      <c r="K18" s="45">
        <v>86620</v>
      </c>
      <c r="L18" s="46">
        <v>10394</v>
      </c>
      <c r="M18" s="46">
        <v>0</v>
      </c>
      <c r="N18" s="39"/>
      <c r="O18" s="45">
        <f t="shared" si="2"/>
        <v>76226</v>
      </c>
      <c r="P18" s="39">
        <v>0</v>
      </c>
      <c r="Q18" s="47" t="s">
        <v>46</v>
      </c>
    </row>
    <row r="19" spans="2:17" ht="19" customHeight="1">
      <c r="B19" s="37" t="s">
        <v>70</v>
      </c>
      <c r="C19" s="38" t="s">
        <v>80</v>
      </c>
      <c r="D19" s="39">
        <v>4</v>
      </c>
      <c r="E19" s="39">
        <f t="shared" si="3"/>
        <v>8</v>
      </c>
      <c r="F19" s="38" t="s">
        <v>42</v>
      </c>
      <c r="G19" s="38" t="s">
        <v>49</v>
      </c>
      <c r="H19" s="39">
        <v>1</v>
      </c>
      <c r="I19" s="38" t="s">
        <v>83</v>
      </c>
      <c r="J19" s="39">
        <v>2</v>
      </c>
      <c r="K19" s="45">
        <v>80064</v>
      </c>
      <c r="L19" s="46">
        <v>9608</v>
      </c>
      <c r="M19" s="46">
        <v>0</v>
      </c>
      <c r="N19" s="39"/>
      <c r="O19" s="45">
        <f t="shared" si="2"/>
        <v>70456</v>
      </c>
      <c r="P19" s="39">
        <v>0</v>
      </c>
      <c r="Q19" s="47" t="s">
        <v>46</v>
      </c>
    </row>
    <row r="20" spans="2:17" ht="19" customHeight="1">
      <c r="B20" s="37" t="s">
        <v>78</v>
      </c>
      <c r="C20" s="38" t="s">
        <v>85</v>
      </c>
      <c r="D20" s="39">
        <v>2</v>
      </c>
      <c r="E20" s="39">
        <f t="shared" si="3"/>
        <v>8</v>
      </c>
      <c r="F20" s="38" t="s">
        <v>42</v>
      </c>
      <c r="G20" s="38" t="s">
        <v>71</v>
      </c>
      <c r="H20" s="39">
        <v>1</v>
      </c>
      <c r="I20" s="38" t="s">
        <v>86</v>
      </c>
      <c r="J20" s="39">
        <v>4</v>
      </c>
      <c r="K20" s="45">
        <v>61862</v>
      </c>
      <c r="L20" s="46">
        <v>7424</v>
      </c>
      <c r="M20" s="46">
        <v>0</v>
      </c>
      <c r="N20" s="39"/>
      <c r="O20" s="45">
        <f t="shared" si="2"/>
        <v>54438</v>
      </c>
      <c r="P20" s="39">
        <v>0</v>
      </c>
      <c r="Q20" s="47" t="s">
        <v>46</v>
      </c>
    </row>
    <row r="21" spans="2:17" ht="19" customHeight="1">
      <c r="B21" s="37" t="s">
        <v>78</v>
      </c>
      <c r="C21" s="38" t="s">
        <v>85</v>
      </c>
      <c r="D21" s="39">
        <v>2</v>
      </c>
      <c r="E21" s="39">
        <f t="shared" si="3"/>
        <v>8</v>
      </c>
      <c r="F21" s="38" t="s">
        <v>42</v>
      </c>
      <c r="G21" s="38" t="s">
        <v>71</v>
      </c>
      <c r="H21" s="39">
        <v>1</v>
      </c>
      <c r="I21" s="38" t="s">
        <v>87</v>
      </c>
      <c r="J21" s="39">
        <v>4</v>
      </c>
      <c r="K21" s="45">
        <v>69596</v>
      </c>
      <c r="L21" s="46">
        <v>8352</v>
      </c>
      <c r="M21" s="46">
        <v>0</v>
      </c>
      <c r="N21" s="39"/>
      <c r="O21" s="45">
        <f t="shared" si="2"/>
        <v>61244</v>
      </c>
      <c r="P21" s="39">
        <v>0</v>
      </c>
      <c r="Q21" s="47" t="s">
        <v>46</v>
      </c>
    </row>
    <row r="22" spans="2:17" ht="19" customHeight="1">
      <c r="B22" s="37" t="s">
        <v>73</v>
      </c>
      <c r="C22" s="38" t="s">
        <v>88</v>
      </c>
      <c r="D22" s="39">
        <v>5</v>
      </c>
      <c r="E22" s="39">
        <f t="shared" si="3"/>
        <v>10</v>
      </c>
      <c r="F22" s="38" t="s">
        <v>42</v>
      </c>
      <c r="G22" s="38" t="s">
        <v>49</v>
      </c>
      <c r="H22" s="39">
        <v>1</v>
      </c>
      <c r="I22" s="38" t="s">
        <v>89</v>
      </c>
      <c r="J22" s="39">
        <v>2</v>
      </c>
      <c r="K22" s="45">
        <v>145000</v>
      </c>
      <c r="L22" s="46">
        <v>17400</v>
      </c>
      <c r="M22" s="46">
        <v>0</v>
      </c>
      <c r="N22" s="39"/>
      <c r="O22" s="45">
        <f t="shared" si="2"/>
        <v>127600</v>
      </c>
      <c r="P22" s="39">
        <v>0</v>
      </c>
      <c r="Q22" s="47" t="s">
        <v>46</v>
      </c>
    </row>
    <row r="23" spans="2:17" ht="19" customHeight="1">
      <c r="B23" s="37" t="s">
        <v>80</v>
      </c>
      <c r="C23" s="38" t="s">
        <v>90</v>
      </c>
      <c r="D23" s="39">
        <v>3</v>
      </c>
      <c r="E23" s="39">
        <f t="shared" si="3"/>
        <v>6</v>
      </c>
      <c r="F23" s="38" t="s">
        <v>42</v>
      </c>
      <c r="G23" s="38" t="s">
        <v>54</v>
      </c>
      <c r="H23" s="39">
        <v>1</v>
      </c>
      <c r="I23" s="38" t="s">
        <v>91</v>
      </c>
      <c r="J23" s="39">
        <v>2</v>
      </c>
      <c r="K23" s="45">
        <v>60900</v>
      </c>
      <c r="L23" s="46">
        <v>7308</v>
      </c>
      <c r="M23" s="46">
        <v>0</v>
      </c>
      <c r="N23" s="39"/>
      <c r="O23" s="45">
        <f t="shared" si="2"/>
        <v>53592</v>
      </c>
      <c r="P23" s="39">
        <v>0</v>
      </c>
      <c r="Q23" s="47" t="s">
        <v>46</v>
      </c>
    </row>
    <row r="24" spans="2:17" ht="19" customHeight="1">
      <c r="B24" s="37" t="s">
        <v>90</v>
      </c>
      <c r="C24" s="38" t="s">
        <v>92</v>
      </c>
      <c r="D24" s="39">
        <v>2</v>
      </c>
      <c r="E24" s="39">
        <f t="shared" si="3"/>
        <v>2</v>
      </c>
      <c r="F24" s="38" t="s">
        <v>42</v>
      </c>
      <c r="G24" s="38" t="s">
        <v>54</v>
      </c>
      <c r="H24" s="39">
        <v>1</v>
      </c>
      <c r="I24" s="38" t="s">
        <v>93</v>
      </c>
      <c r="J24" s="39">
        <v>1</v>
      </c>
      <c r="K24" s="45">
        <v>30400</v>
      </c>
      <c r="L24" s="46">
        <v>3648</v>
      </c>
      <c r="M24" s="46">
        <v>0</v>
      </c>
      <c r="N24" s="39"/>
      <c r="O24" s="45">
        <f t="shared" si="2"/>
        <v>26752</v>
      </c>
      <c r="P24" s="39">
        <v>0</v>
      </c>
      <c r="Q24" s="47" t="s">
        <v>46</v>
      </c>
    </row>
    <row r="25" spans="2:17" ht="19" customHeight="1">
      <c r="B25" s="37" t="s">
        <v>90</v>
      </c>
      <c r="C25" s="38" t="s">
        <v>94</v>
      </c>
      <c r="D25" s="39">
        <v>3</v>
      </c>
      <c r="E25" s="39">
        <f t="shared" si="3"/>
        <v>12</v>
      </c>
      <c r="F25" s="38" t="s">
        <v>42</v>
      </c>
      <c r="G25" s="38" t="s">
        <v>71</v>
      </c>
      <c r="H25" s="39">
        <v>1</v>
      </c>
      <c r="I25" s="38" t="s">
        <v>95</v>
      </c>
      <c r="J25" s="39">
        <v>4</v>
      </c>
      <c r="K25" s="45">
        <v>92793</v>
      </c>
      <c r="L25" s="46">
        <v>11136</v>
      </c>
      <c r="M25" s="46">
        <v>0</v>
      </c>
      <c r="N25" s="45">
        <f>SUM(O4:O25)</f>
        <v>1607562</v>
      </c>
      <c r="O25" s="45">
        <f t="shared" si="2"/>
        <v>81657</v>
      </c>
      <c r="P25" s="39">
        <v>0</v>
      </c>
      <c r="Q25" s="47" t="s">
        <v>46</v>
      </c>
    </row>
    <row r="26" spans="2:17" ht="19" customHeight="1">
      <c r="B26" s="37" t="s">
        <v>41</v>
      </c>
      <c r="C26" s="38" t="s">
        <v>39</v>
      </c>
      <c r="D26" s="39">
        <v>2</v>
      </c>
      <c r="E26" s="39">
        <f t="shared" si="3"/>
        <v>4</v>
      </c>
      <c r="F26" s="38" t="s">
        <v>96</v>
      </c>
      <c r="G26" s="38" t="s">
        <v>49</v>
      </c>
      <c r="H26" s="39">
        <v>1</v>
      </c>
      <c r="I26" s="38" t="s">
        <v>97</v>
      </c>
      <c r="J26" s="39">
        <v>2</v>
      </c>
      <c r="K26" s="45">
        <v>33360</v>
      </c>
      <c r="L26" s="45">
        <v>5004</v>
      </c>
      <c r="M26" s="46">
        <v>0</v>
      </c>
      <c r="N26" s="48"/>
      <c r="O26" s="45">
        <f t="shared" si="2"/>
        <v>28356</v>
      </c>
      <c r="P26" s="39">
        <v>0</v>
      </c>
      <c r="Q26" s="47" t="s">
        <v>46</v>
      </c>
    </row>
    <row r="27" spans="2:17" ht="19" customHeight="1">
      <c r="B27" s="37" t="s">
        <v>98</v>
      </c>
      <c r="C27" s="38" t="s">
        <v>99</v>
      </c>
      <c r="D27" s="39">
        <v>7</v>
      </c>
      <c r="E27" s="39">
        <f t="shared" si="3"/>
        <v>21</v>
      </c>
      <c r="F27" s="38" t="s">
        <v>96</v>
      </c>
      <c r="G27" s="38" t="s">
        <v>71</v>
      </c>
      <c r="H27" s="39">
        <v>1</v>
      </c>
      <c r="I27" s="38" t="s">
        <v>100</v>
      </c>
      <c r="J27" s="39">
        <v>3</v>
      </c>
      <c r="K27" s="45">
        <v>186160</v>
      </c>
      <c r="L27" s="45">
        <v>27924</v>
      </c>
      <c r="M27" s="46">
        <v>0</v>
      </c>
      <c r="N27" s="48"/>
      <c r="O27" s="45">
        <f t="shared" si="2"/>
        <v>158236</v>
      </c>
      <c r="P27" s="39">
        <v>0</v>
      </c>
      <c r="Q27" s="47" t="s">
        <v>46</v>
      </c>
    </row>
    <row r="28" spans="2:17" ht="19" customHeight="1">
      <c r="B28" s="37" t="s">
        <v>39</v>
      </c>
      <c r="C28" s="38" t="s">
        <v>52</v>
      </c>
      <c r="D28" s="39">
        <v>4</v>
      </c>
      <c r="E28" s="39">
        <f t="shared" si="3"/>
        <v>8</v>
      </c>
      <c r="F28" s="38" t="s">
        <v>96</v>
      </c>
      <c r="G28" s="38" t="s">
        <v>49</v>
      </c>
      <c r="H28" s="39">
        <v>1</v>
      </c>
      <c r="I28" s="38" t="s">
        <v>101</v>
      </c>
      <c r="J28" s="39">
        <v>2</v>
      </c>
      <c r="K28" s="45">
        <v>77840</v>
      </c>
      <c r="L28" s="45">
        <v>11676</v>
      </c>
      <c r="M28" s="46">
        <v>0</v>
      </c>
      <c r="N28" s="48"/>
      <c r="O28" s="45">
        <f t="shared" si="2"/>
        <v>66164</v>
      </c>
      <c r="P28" s="39">
        <v>0</v>
      </c>
      <c r="Q28" s="47" t="s">
        <v>46</v>
      </c>
    </row>
    <row r="29" spans="2:17" ht="19" customHeight="1">
      <c r="B29" s="37" t="s">
        <v>52</v>
      </c>
      <c r="C29" s="38" t="s">
        <v>47</v>
      </c>
      <c r="D29" s="39">
        <v>2</v>
      </c>
      <c r="E29" s="39">
        <f t="shared" si="3"/>
        <v>8</v>
      </c>
      <c r="F29" s="38" t="s">
        <v>96</v>
      </c>
      <c r="G29" s="38" t="s">
        <v>56</v>
      </c>
      <c r="H29" s="39">
        <v>1</v>
      </c>
      <c r="I29" s="38" t="s">
        <v>102</v>
      </c>
      <c r="J29" s="39">
        <v>4</v>
      </c>
      <c r="K29" s="45">
        <v>85000</v>
      </c>
      <c r="L29" s="45">
        <v>12750</v>
      </c>
      <c r="M29" s="46">
        <v>0</v>
      </c>
      <c r="N29" s="48"/>
      <c r="O29" s="45">
        <f t="shared" si="2"/>
        <v>72250</v>
      </c>
      <c r="P29" s="39">
        <v>0</v>
      </c>
      <c r="Q29" s="47" t="s">
        <v>46</v>
      </c>
    </row>
    <row r="30" spans="2:17" ht="19" customHeight="1">
      <c r="B30" s="37" t="s">
        <v>99</v>
      </c>
      <c r="C30" s="38" t="s">
        <v>47</v>
      </c>
      <c r="D30" s="39">
        <v>3</v>
      </c>
      <c r="E30" s="39">
        <f t="shared" si="3"/>
        <v>12</v>
      </c>
      <c r="F30" s="38" t="s">
        <v>96</v>
      </c>
      <c r="G30" s="38" t="s">
        <v>71</v>
      </c>
      <c r="H30" s="39">
        <v>1</v>
      </c>
      <c r="I30" s="38" t="s">
        <v>103</v>
      </c>
      <c r="J30" s="39">
        <v>4</v>
      </c>
      <c r="K30" s="45">
        <v>136140</v>
      </c>
      <c r="L30" s="45">
        <v>20421</v>
      </c>
      <c r="M30" s="46">
        <v>0</v>
      </c>
      <c r="N30" s="48"/>
      <c r="O30" s="45">
        <f t="shared" si="2"/>
        <v>115719</v>
      </c>
      <c r="P30" s="39">
        <v>0</v>
      </c>
      <c r="Q30" s="47" t="s">
        <v>46</v>
      </c>
    </row>
    <row r="31" spans="2:17" ht="19" customHeight="1">
      <c r="B31" s="37" t="s">
        <v>104</v>
      </c>
      <c r="C31" s="38" t="s">
        <v>47</v>
      </c>
      <c r="D31" s="39">
        <v>5</v>
      </c>
      <c r="E31" s="39">
        <f t="shared" si="3"/>
        <v>15</v>
      </c>
      <c r="F31" s="38" t="s">
        <v>96</v>
      </c>
      <c r="G31" s="38" t="s">
        <v>49</v>
      </c>
      <c r="H31" s="39">
        <v>1</v>
      </c>
      <c r="I31" s="38" t="s">
        <v>326</v>
      </c>
      <c r="J31" s="39">
        <v>3</v>
      </c>
      <c r="K31" s="45">
        <v>127880</v>
      </c>
      <c r="L31" s="45">
        <v>19182</v>
      </c>
      <c r="M31" s="46">
        <v>0</v>
      </c>
      <c r="N31" s="48"/>
      <c r="O31" s="45">
        <f t="shared" si="2"/>
        <v>108698</v>
      </c>
      <c r="P31" s="39">
        <v>0</v>
      </c>
      <c r="Q31" s="47" t="s">
        <v>46</v>
      </c>
    </row>
    <row r="32" spans="2:17" ht="19" customHeight="1">
      <c r="B32" s="37" t="s">
        <v>105</v>
      </c>
      <c r="C32" s="38" t="s">
        <v>58</v>
      </c>
      <c r="D32" s="39">
        <v>4</v>
      </c>
      <c r="E32" s="39">
        <f t="shared" si="3"/>
        <v>12</v>
      </c>
      <c r="F32" s="38" t="s">
        <v>96</v>
      </c>
      <c r="G32" s="38" t="s">
        <v>49</v>
      </c>
      <c r="H32" s="39">
        <v>1</v>
      </c>
      <c r="I32" s="38" t="s">
        <v>327</v>
      </c>
      <c r="J32" s="39">
        <v>3</v>
      </c>
      <c r="K32" s="45">
        <v>135640</v>
      </c>
      <c r="L32" s="45">
        <v>20346</v>
      </c>
      <c r="M32" s="46">
        <v>0</v>
      </c>
      <c r="N32" s="48"/>
      <c r="O32" s="45">
        <f t="shared" si="2"/>
        <v>115294</v>
      </c>
      <c r="P32" s="39">
        <v>0</v>
      </c>
      <c r="Q32" s="47" t="s">
        <v>46</v>
      </c>
    </row>
    <row r="33" spans="2:17" ht="19" customHeight="1">
      <c r="B33" s="37" t="s">
        <v>53</v>
      </c>
      <c r="C33" s="38" t="s">
        <v>58</v>
      </c>
      <c r="D33" s="39">
        <v>2</v>
      </c>
      <c r="E33" s="39">
        <f t="shared" si="3"/>
        <v>2</v>
      </c>
      <c r="F33" s="38" t="s">
        <v>96</v>
      </c>
      <c r="G33" s="38" t="s">
        <v>49</v>
      </c>
      <c r="H33" s="39">
        <v>1</v>
      </c>
      <c r="I33" s="38" t="s">
        <v>106</v>
      </c>
      <c r="J33" s="39">
        <v>1</v>
      </c>
      <c r="K33" s="45">
        <v>61600</v>
      </c>
      <c r="L33" s="45">
        <v>9240</v>
      </c>
      <c r="M33" s="46">
        <v>0</v>
      </c>
      <c r="N33" s="48"/>
      <c r="O33" s="45">
        <f t="shared" si="2"/>
        <v>52360</v>
      </c>
      <c r="P33" s="39">
        <v>0</v>
      </c>
      <c r="Q33" s="47" t="s">
        <v>46</v>
      </c>
    </row>
    <row r="34" spans="2:17" ht="19" customHeight="1">
      <c r="B34" s="37" t="s">
        <v>63</v>
      </c>
      <c r="C34" s="38" t="s">
        <v>68</v>
      </c>
      <c r="D34" s="39">
        <v>2</v>
      </c>
      <c r="E34" s="39">
        <f t="shared" si="3"/>
        <v>6</v>
      </c>
      <c r="F34" s="38" t="s">
        <v>96</v>
      </c>
      <c r="G34" s="38" t="s">
        <v>71</v>
      </c>
      <c r="H34" s="39">
        <v>1</v>
      </c>
      <c r="I34" s="38" t="s">
        <v>107</v>
      </c>
      <c r="J34" s="39">
        <v>3</v>
      </c>
      <c r="K34" s="45">
        <v>41800</v>
      </c>
      <c r="L34" s="45">
        <v>6270</v>
      </c>
      <c r="M34" s="46">
        <v>0</v>
      </c>
      <c r="N34" s="48"/>
      <c r="O34" s="45">
        <f t="shared" si="2"/>
        <v>35530</v>
      </c>
      <c r="P34" s="39">
        <v>0</v>
      </c>
      <c r="Q34" s="47" t="s">
        <v>46</v>
      </c>
    </row>
    <row r="35" spans="2:17" ht="19" customHeight="1">
      <c r="B35" s="37" t="s">
        <v>52</v>
      </c>
      <c r="C35" s="38" t="s">
        <v>68</v>
      </c>
      <c r="D35" s="39">
        <v>11</v>
      </c>
      <c r="E35" s="39">
        <f t="shared" si="3"/>
        <v>33</v>
      </c>
      <c r="F35" s="38" t="s">
        <v>96</v>
      </c>
      <c r="G35" s="38" t="s">
        <v>71</v>
      </c>
      <c r="H35" s="39">
        <v>1</v>
      </c>
      <c r="I35" s="38" t="s">
        <v>108</v>
      </c>
      <c r="J35" s="39">
        <v>3</v>
      </c>
      <c r="K35" s="45">
        <v>426020</v>
      </c>
      <c r="L35" s="45">
        <v>63903</v>
      </c>
      <c r="M35" s="46">
        <v>0</v>
      </c>
      <c r="N35" s="48"/>
      <c r="O35" s="45">
        <f t="shared" si="2"/>
        <v>362117</v>
      </c>
      <c r="P35" s="39">
        <v>0</v>
      </c>
      <c r="Q35" s="47" t="s">
        <v>46</v>
      </c>
    </row>
    <row r="36" spans="2:17" ht="19" customHeight="1">
      <c r="B36" s="37" t="s">
        <v>65</v>
      </c>
      <c r="C36" s="38" t="s">
        <v>69</v>
      </c>
      <c r="D36" s="39">
        <v>2</v>
      </c>
      <c r="E36" s="39">
        <f t="shared" si="3"/>
        <v>4</v>
      </c>
      <c r="F36" s="38" t="s">
        <v>96</v>
      </c>
      <c r="G36" s="38" t="s">
        <v>49</v>
      </c>
      <c r="H36" s="39">
        <v>1</v>
      </c>
      <c r="I36" s="38" t="s">
        <v>109</v>
      </c>
      <c r="J36" s="39">
        <v>2</v>
      </c>
      <c r="K36" s="45">
        <v>50480</v>
      </c>
      <c r="L36" s="45">
        <v>7572</v>
      </c>
      <c r="M36" s="46">
        <v>0</v>
      </c>
      <c r="N36" s="48"/>
      <c r="O36" s="45">
        <f t="shared" ref="O36:O57" si="4">K36-L36-M36</f>
        <v>42908</v>
      </c>
      <c r="P36" s="39">
        <v>0</v>
      </c>
      <c r="Q36" s="47" t="s">
        <v>46</v>
      </c>
    </row>
    <row r="37" spans="2:17" ht="19" customHeight="1">
      <c r="B37" s="37" t="s">
        <v>70</v>
      </c>
      <c r="C37" s="38" t="s">
        <v>75</v>
      </c>
      <c r="D37" s="39">
        <v>2</v>
      </c>
      <c r="E37" s="39">
        <f t="shared" si="3"/>
        <v>6</v>
      </c>
      <c r="F37" s="38" t="s">
        <v>96</v>
      </c>
      <c r="G37" s="38" t="s">
        <v>71</v>
      </c>
      <c r="H37" s="39">
        <v>1</v>
      </c>
      <c r="I37" s="38" t="s">
        <v>110</v>
      </c>
      <c r="J37" s="39">
        <v>3</v>
      </c>
      <c r="K37" s="45">
        <v>41800</v>
      </c>
      <c r="L37" s="45">
        <v>6270</v>
      </c>
      <c r="M37" s="46">
        <v>0</v>
      </c>
      <c r="N37" s="48"/>
      <c r="O37" s="45">
        <f t="shared" si="4"/>
        <v>35530</v>
      </c>
      <c r="P37" s="39">
        <v>0</v>
      </c>
      <c r="Q37" s="47" t="s">
        <v>46</v>
      </c>
    </row>
    <row r="38" spans="2:17" ht="19" customHeight="1">
      <c r="B38" s="37" t="s">
        <v>73</v>
      </c>
      <c r="C38" s="38" t="s">
        <v>78</v>
      </c>
      <c r="D38" s="39">
        <v>2</v>
      </c>
      <c r="E38" s="39">
        <f t="shared" si="3"/>
        <v>4</v>
      </c>
      <c r="F38" s="38" t="s">
        <v>96</v>
      </c>
      <c r="G38" s="38" t="s">
        <v>71</v>
      </c>
      <c r="H38" s="39">
        <v>1</v>
      </c>
      <c r="I38" s="38" t="s">
        <v>111</v>
      </c>
      <c r="J38" s="39">
        <v>2</v>
      </c>
      <c r="K38" s="45">
        <v>34640</v>
      </c>
      <c r="L38" s="45">
        <v>5196</v>
      </c>
      <c r="M38" s="46">
        <v>0</v>
      </c>
      <c r="N38" s="48"/>
      <c r="O38" s="45">
        <f t="shared" si="4"/>
        <v>29444</v>
      </c>
      <c r="P38" s="39">
        <v>0</v>
      </c>
      <c r="Q38" s="47" t="s">
        <v>46</v>
      </c>
    </row>
    <row r="39" spans="2:17" ht="19" customHeight="1">
      <c r="B39" s="37" t="s">
        <v>77</v>
      </c>
      <c r="C39" s="38" t="s">
        <v>78</v>
      </c>
      <c r="D39" s="39">
        <v>4</v>
      </c>
      <c r="E39" s="39">
        <f t="shared" si="3"/>
        <v>8</v>
      </c>
      <c r="F39" s="38" t="s">
        <v>96</v>
      </c>
      <c r="G39" s="38" t="s">
        <v>43</v>
      </c>
      <c r="H39" s="39">
        <v>1</v>
      </c>
      <c r="I39" s="38" t="s">
        <v>113</v>
      </c>
      <c r="J39" s="39">
        <v>2</v>
      </c>
      <c r="K39" s="45">
        <v>68080</v>
      </c>
      <c r="L39" s="45">
        <v>10212</v>
      </c>
      <c r="M39" s="46">
        <v>0</v>
      </c>
      <c r="N39" s="48"/>
      <c r="O39" s="45">
        <f t="shared" si="4"/>
        <v>57868</v>
      </c>
      <c r="P39" s="39">
        <v>0</v>
      </c>
      <c r="Q39" s="47" t="s">
        <v>46</v>
      </c>
    </row>
    <row r="40" spans="2:17" ht="19" customHeight="1">
      <c r="B40" s="37" t="s">
        <v>85</v>
      </c>
      <c r="C40" s="38" t="s">
        <v>90</v>
      </c>
      <c r="D40" s="39">
        <v>2</v>
      </c>
      <c r="E40" s="39">
        <f t="shared" si="3"/>
        <v>6</v>
      </c>
      <c r="F40" s="38" t="s">
        <v>96</v>
      </c>
      <c r="G40" s="38" t="s">
        <v>71</v>
      </c>
      <c r="H40" s="39">
        <v>1</v>
      </c>
      <c r="I40" s="38" t="s">
        <v>114</v>
      </c>
      <c r="J40" s="39">
        <v>3</v>
      </c>
      <c r="K40" s="45">
        <v>34640</v>
      </c>
      <c r="L40" s="45">
        <v>5196</v>
      </c>
      <c r="M40" s="46">
        <v>0</v>
      </c>
      <c r="N40" s="48"/>
      <c r="O40" s="45">
        <f t="shared" si="4"/>
        <v>29444</v>
      </c>
      <c r="P40" s="39">
        <v>0</v>
      </c>
      <c r="Q40" s="47" t="s">
        <v>46</v>
      </c>
    </row>
    <row r="41" spans="2:17" ht="19" customHeight="1">
      <c r="B41" s="37" t="s">
        <v>80</v>
      </c>
      <c r="C41" s="38" t="s">
        <v>90</v>
      </c>
      <c r="D41" s="39">
        <v>3</v>
      </c>
      <c r="E41" s="39">
        <f t="shared" si="3"/>
        <v>9</v>
      </c>
      <c r="F41" s="38" t="s">
        <v>96</v>
      </c>
      <c r="G41" s="38" t="s">
        <v>56</v>
      </c>
      <c r="H41" s="39">
        <v>1</v>
      </c>
      <c r="I41" s="38" t="s">
        <v>115</v>
      </c>
      <c r="J41" s="39">
        <v>3</v>
      </c>
      <c r="K41" s="45">
        <v>120000</v>
      </c>
      <c r="L41" s="45">
        <v>18000</v>
      </c>
      <c r="M41" s="46">
        <v>0</v>
      </c>
      <c r="N41" s="48"/>
      <c r="O41" s="45">
        <f t="shared" si="4"/>
        <v>102000</v>
      </c>
      <c r="P41" s="39">
        <v>0</v>
      </c>
      <c r="Q41" s="47" t="s">
        <v>46</v>
      </c>
    </row>
    <row r="42" spans="2:17" ht="19" customHeight="1">
      <c r="B42" s="37" t="s">
        <v>78</v>
      </c>
      <c r="C42" s="38" t="s">
        <v>90</v>
      </c>
      <c r="D42" s="39">
        <v>4</v>
      </c>
      <c r="E42" s="39">
        <f t="shared" si="3"/>
        <v>12</v>
      </c>
      <c r="F42" s="38" t="s">
        <v>96</v>
      </c>
      <c r="G42" s="38" t="s">
        <v>43</v>
      </c>
      <c r="H42" s="39">
        <v>1</v>
      </c>
      <c r="I42" s="38" t="s">
        <v>328</v>
      </c>
      <c r="J42" s="39">
        <v>3</v>
      </c>
      <c r="K42" s="45">
        <v>139680</v>
      </c>
      <c r="L42" s="45">
        <v>20952</v>
      </c>
      <c r="M42" s="46">
        <v>0</v>
      </c>
      <c r="N42" s="48"/>
      <c r="O42" s="45">
        <f t="shared" si="4"/>
        <v>118728</v>
      </c>
      <c r="P42" s="39">
        <v>0</v>
      </c>
      <c r="Q42" s="47" t="s">
        <v>46</v>
      </c>
    </row>
    <row r="43" spans="2:17" ht="19" customHeight="1">
      <c r="B43" s="37" t="s">
        <v>85</v>
      </c>
      <c r="C43" s="38" t="s">
        <v>116</v>
      </c>
      <c r="D43" s="39">
        <v>3</v>
      </c>
      <c r="E43" s="39">
        <f t="shared" si="3"/>
        <v>9</v>
      </c>
      <c r="F43" s="38" t="s">
        <v>96</v>
      </c>
      <c r="G43" s="38" t="s">
        <v>71</v>
      </c>
      <c r="H43" s="39">
        <v>1</v>
      </c>
      <c r="I43" s="38" t="s">
        <v>329</v>
      </c>
      <c r="J43" s="39">
        <v>3</v>
      </c>
      <c r="K43" s="45">
        <v>59700</v>
      </c>
      <c r="L43" s="45">
        <v>8955</v>
      </c>
      <c r="M43" s="46">
        <v>0</v>
      </c>
      <c r="N43" s="48"/>
      <c r="O43" s="45">
        <f t="shared" si="4"/>
        <v>50745</v>
      </c>
      <c r="P43" s="39">
        <v>0</v>
      </c>
      <c r="Q43" s="47" t="s">
        <v>46</v>
      </c>
    </row>
    <row r="44" spans="2:17" ht="19" customHeight="1">
      <c r="B44" s="37" t="s">
        <v>90</v>
      </c>
      <c r="C44" s="38" t="s">
        <v>94</v>
      </c>
      <c r="D44" s="39">
        <v>3</v>
      </c>
      <c r="E44" s="39">
        <f>D44*J44</f>
        <v>12</v>
      </c>
      <c r="F44" s="38" t="s">
        <v>96</v>
      </c>
      <c r="G44" s="38" t="s">
        <v>56</v>
      </c>
      <c r="H44" s="39">
        <v>1</v>
      </c>
      <c r="I44" s="38" t="s">
        <v>117</v>
      </c>
      <c r="J44" s="39">
        <v>4</v>
      </c>
      <c r="K44" s="45">
        <v>66000</v>
      </c>
      <c r="L44" s="45">
        <v>9900</v>
      </c>
      <c r="M44" s="46">
        <v>0</v>
      </c>
      <c r="N44" s="45">
        <f>SUM(O26:O44)</f>
        <v>1637491</v>
      </c>
      <c r="O44" s="45">
        <f t="shared" si="4"/>
        <v>56100</v>
      </c>
      <c r="P44" s="39">
        <v>0</v>
      </c>
      <c r="Q44" s="47" t="s">
        <v>46</v>
      </c>
    </row>
    <row r="45" spans="2:17" ht="19" customHeight="1">
      <c r="B45" s="37" t="s">
        <v>118</v>
      </c>
      <c r="C45" s="38" t="s">
        <v>39</v>
      </c>
      <c r="D45" s="39">
        <v>5</v>
      </c>
      <c r="E45" s="39">
        <f t="shared" si="3"/>
        <v>10</v>
      </c>
      <c r="F45" s="49" t="s">
        <v>119</v>
      </c>
      <c r="G45" s="38" t="s">
        <v>54</v>
      </c>
      <c r="H45" s="39">
        <v>1</v>
      </c>
      <c r="I45" s="38" t="s">
        <v>120</v>
      </c>
      <c r="J45" s="39">
        <v>2</v>
      </c>
      <c r="K45" s="45">
        <v>143350</v>
      </c>
      <c r="L45" s="45">
        <v>17202</v>
      </c>
      <c r="M45" s="45">
        <v>3297</v>
      </c>
      <c r="N45" s="48"/>
      <c r="O45" s="45">
        <f t="shared" si="4"/>
        <v>122851</v>
      </c>
      <c r="P45" s="39">
        <v>0</v>
      </c>
      <c r="Q45" s="47" t="s">
        <v>46</v>
      </c>
    </row>
    <row r="46" spans="2:17" ht="19" customHeight="1">
      <c r="B46" s="37" t="s">
        <v>104</v>
      </c>
      <c r="C46" s="38" t="s">
        <v>105</v>
      </c>
      <c r="D46" s="39">
        <v>6</v>
      </c>
      <c r="E46" s="39">
        <f t="shared" si="3"/>
        <v>12</v>
      </c>
      <c r="F46" s="49" t="s">
        <v>119</v>
      </c>
      <c r="G46" s="38" t="s">
        <v>49</v>
      </c>
      <c r="H46" s="39">
        <v>1</v>
      </c>
      <c r="I46" s="38" t="s">
        <v>121</v>
      </c>
      <c r="J46" s="39">
        <v>2</v>
      </c>
      <c r="K46" s="45">
        <v>180700</v>
      </c>
      <c r="L46" s="45">
        <v>21684</v>
      </c>
      <c r="M46" s="45">
        <v>4156</v>
      </c>
      <c r="N46" s="48"/>
      <c r="O46" s="45">
        <f t="shared" si="4"/>
        <v>154860</v>
      </c>
      <c r="P46" s="39">
        <v>0</v>
      </c>
      <c r="Q46" s="47" t="s">
        <v>46</v>
      </c>
    </row>
    <row r="47" spans="2:17" ht="19" customHeight="1">
      <c r="B47" s="37" t="s">
        <v>99</v>
      </c>
      <c r="C47" s="38" t="s">
        <v>105</v>
      </c>
      <c r="D47" s="39">
        <v>4</v>
      </c>
      <c r="E47" s="39">
        <f t="shared" si="3"/>
        <v>12</v>
      </c>
      <c r="F47" s="49" t="s">
        <v>119</v>
      </c>
      <c r="G47" s="38" t="s">
        <v>54</v>
      </c>
      <c r="H47" s="39">
        <v>1</v>
      </c>
      <c r="I47" s="38" t="s">
        <v>122</v>
      </c>
      <c r="J47" s="39">
        <v>3</v>
      </c>
      <c r="K47" s="45">
        <v>98208</v>
      </c>
      <c r="L47" s="45">
        <v>11785</v>
      </c>
      <c r="M47" s="45">
        <v>2259</v>
      </c>
      <c r="N47" s="48"/>
      <c r="O47" s="45">
        <f t="shared" si="4"/>
        <v>84164</v>
      </c>
      <c r="P47" s="39">
        <v>0</v>
      </c>
      <c r="Q47" s="47" t="s">
        <v>46</v>
      </c>
    </row>
    <row r="48" spans="2:17" ht="19" customHeight="1">
      <c r="B48" s="37" t="s">
        <v>48</v>
      </c>
      <c r="C48" s="38" t="s">
        <v>63</v>
      </c>
      <c r="D48" s="39">
        <v>5</v>
      </c>
      <c r="E48" s="39">
        <f t="shared" si="3"/>
        <v>20</v>
      </c>
      <c r="F48" s="49" t="s">
        <v>119</v>
      </c>
      <c r="G48" s="38" t="s">
        <v>71</v>
      </c>
      <c r="H48" s="39">
        <v>1</v>
      </c>
      <c r="I48" s="38" t="s">
        <v>123</v>
      </c>
      <c r="J48" s="39">
        <v>4</v>
      </c>
      <c r="K48" s="45">
        <v>200124</v>
      </c>
      <c r="L48" s="45">
        <v>24015</v>
      </c>
      <c r="M48" s="45">
        <v>4603</v>
      </c>
      <c r="N48" s="48"/>
      <c r="O48" s="45">
        <f t="shared" si="4"/>
        <v>171506</v>
      </c>
      <c r="P48" s="39">
        <v>0</v>
      </c>
      <c r="Q48" s="47" t="s">
        <v>46</v>
      </c>
    </row>
    <row r="49" spans="2:17" ht="19" customHeight="1">
      <c r="B49" s="37" t="s">
        <v>58</v>
      </c>
      <c r="C49" s="38" t="s">
        <v>124</v>
      </c>
      <c r="D49" s="39">
        <v>3</v>
      </c>
      <c r="E49" s="39">
        <f t="shared" si="3"/>
        <v>6</v>
      </c>
      <c r="F49" s="49" t="s">
        <v>119</v>
      </c>
      <c r="G49" s="38" t="s">
        <v>54</v>
      </c>
      <c r="H49" s="39">
        <v>1</v>
      </c>
      <c r="I49" s="38" t="s">
        <v>125</v>
      </c>
      <c r="J49" s="39">
        <v>2</v>
      </c>
      <c r="K49" s="45">
        <v>67000</v>
      </c>
      <c r="L49" s="45">
        <v>8040</v>
      </c>
      <c r="M49" s="45">
        <v>1541</v>
      </c>
      <c r="N49" s="48"/>
      <c r="O49" s="45">
        <f t="shared" si="4"/>
        <v>57419</v>
      </c>
      <c r="P49" s="39">
        <v>0</v>
      </c>
      <c r="Q49" s="47" t="s">
        <v>46</v>
      </c>
    </row>
    <row r="50" spans="2:17" ht="19" customHeight="1">
      <c r="B50" s="37" t="s">
        <v>61</v>
      </c>
      <c r="C50" s="38" t="s">
        <v>112</v>
      </c>
      <c r="D50" s="39">
        <v>5</v>
      </c>
      <c r="E50" s="39">
        <f t="shared" si="3"/>
        <v>15</v>
      </c>
      <c r="F50" s="49" t="s">
        <v>119</v>
      </c>
      <c r="G50" s="38" t="s">
        <v>43</v>
      </c>
      <c r="H50" s="39">
        <v>1</v>
      </c>
      <c r="I50" s="38" t="s">
        <v>126</v>
      </c>
      <c r="J50" s="39">
        <v>3</v>
      </c>
      <c r="K50" s="45">
        <v>161190</v>
      </c>
      <c r="L50" s="45">
        <v>19343</v>
      </c>
      <c r="M50" s="45">
        <v>3707</v>
      </c>
      <c r="N50" s="48"/>
      <c r="O50" s="45">
        <f t="shared" si="4"/>
        <v>138140</v>
      </c>
      <c r="P50" s="39">
        <v>0</v>
      </c>
      <c r="Q50" s="47" t="s">
        <v>46</v>
      </c>
    </row>
    <row r="51" spans="2:17" ht="19" customHeight="1">
      <c r="B51" s="37" t="s">
        <v>65</v>
      </c>
      <c r="C51" s="38" t="s">
        <v>69</v>
      </c>
      <c r="D51" s="39">
        <v>2</v>
      </c>
      <c r="E51" s="39">
        <f t="shared" si="3"/>
        <v>4</v>
      </c>
      <c r="F51" s="49" t="s">
        <v>119</v>
      </c>
      <c r="G51" s="38" t="s">
        <v>49</v>
      </c>
      <c r="H51" s="39">
        <v>1</v>
      </c>
      <c r="I51" s="38" t="s">
        <v>127</v>
      </c>
      <c r="J51" s="39">
        <v>2</v>
      </c>
      <c r="K51" s="45">
        <v>44480</v>
      </c>
      <c r="L51" s="45">
        <v>5338</v>
      </c>
      <c r="M51" s="45">
        <v>1023</v>
      </c>
      <c r="N51" s="48"/>
      <c r="O51" s="45">
        <f t="shared" si="4"/>
        <v>38119</v>
      </c>
      <c r="P51" s="39">
        <v>0</v>
      </c>
      <c r="Q51" s="47" t="s">
        <v>46</v>
      </c>
    </row>
    <row r="52" spans="2:17" ht="19" customHeight="1">
      <c r="B52" s="37" t="s">
        <v>68</v>
      </c>
      <c r="C52" s="38" t="s">
        <v>77</v>
      </c>
      <c r="D52" s="39">
        <v>4</v>
      </c>
      <c r="E52" s="39">
        <f t="shared" si="3"/>
        <v>8</v>
      </c>
      <c r="F52" s="49" t="s">
        <v>119</v>
      </c>
      <c r="G52" s="38" t="s">
        <v>49</v>
      </c>
      <c r="H52" s="39">
        <v>1</v>
      </c>
      <c r="I52" s="38" t="s">
        <v>129</v>
      </c>
      <c r="J52" s="39">
        <v>2</v>
      </c>
      <c r="K52" s="45">
        <v>122760</v>
      </c>
      <c r="L52" s="45">
        <v>14731</v>
      </c>
      <c r="M52" s="45">
        <v>2823</v>
      </c>
      <c r="N52" s="48"/>
      <c r="O52" s="45">
        <f t="shared" si="4"/>
        <v>105206</v>
      </c>
      <c r="P52" s="39">
        <v>0</v>
      </c>
      <c r="Q52" s="47" t="s">
        <v>46</v>
      </c>
    </row>
    <row r="53" spans="2:17" ht="19" customHeight="1">
      <c r="B53" s="37" t="s">
        <v>65</v>
      </c>
      <c r="C53" s="38" t="s">
        <v>73</v>
      </c>
      <c r="D53" s="39">
        <v>5</v>
      </c>
      <c r="E53" s="39">
        <f t="shared" si="3"/>
        <v>5</v>
      </c>
      <c r="F53" s="49" t="s">
        <v>119</v>
      </c>
      <c r="G53" s="38" t="s">
        <v>71</v>
      </c>
      <c r="H53" s="39">
        <v>1</v>
      </c>
      <c r="I53" s="38" t="s">
        <v>130</v>
      </c>
      <c r="J53" s="39">
        <v>1</v>
      </c>
      <c r="K53" s="45">
        <v>185007</v>
      </c>
      <c r="L53" s="45">
        <v>22201</v>
      </c>
      <c r="M53" s="45">
        <v>4255</v>
      </c>
      <c r="N53" s="48"/>
      <c r="O53" s="45">
        <f t="shared" si="4"/>
        <v>158551</v>
      </c>
      <c r="P53" s="39">
        <v>0</v>
      </c>
      <c r="Q53" s="47" t="s">
        <v>46</v>
      </c>
    </row>
    <row r="54" spans="2:17" ht="19" customHeight="1">
      <c r="B54" s="37" t="s">
        <v>78</v>
      </c>
      <c r="C54" s="38" t="s">
        <v>85</v>
      </c>
      <c r="D54" s="39">
        <v>2</v>
      </c>
      <c r="E54" s="39">
        <f t="shared" si="3"/>
        <v>2</v>
      </c>
      <c r="F54" s="49" t="s">
        <v>119</v>
      </c>
      <c r="G54" s="38" t="s">
        <v>54</v>
      </c>
      <c r="H54" s="39">
        <v>1</v>
      </c>
      <c r="I54" s="38" t="s">
        <v>131</v>
      </c>
      <c r="J54" s="39">
        <v>1</v>
      </c>
      <c r="K54" s="45">
        <v>61000</v>
      </c>
      <c r="L54" s="45">
        <v>7320</v>
      </c>
      <c r="M54" s="45">
        <v>1403</v>
      </c>
      <c r="N54" s="45">
        <f>SUM(O45:O54)</f>
        <v>1083093</v>
      </c>
      <c r="O54" s="45">
        <f t="shared" si="4"/>
        <v>52277</v>
      </c>
      <c r="P54" s="39">
        <v>0</v>
      </c>
      <c r="Q54" s="47" t="s">
        <v>46</v>
      </c>
    </row>
    <row r="55" spans="2:17" ht="19" customHeight="1">
      <c r="B55" s="37" t="s">
        <v>104</v>
      </c>
      <c r="C55" s="38" t="s">
        <v>52</v>
      </c>
      <c r="D55" s="39">
        <v>3</v>
      </c>
      <c r="E55" s="39">
        <f t="shared" si="3"/>
        <v>9</v>
      </c>
      <c r="F55" s="38" t="s">
        <v>132</v>
      </c>
      <c r="G55" s="38" t="s">
        <v>71</v>
      </c>
      <c r="H55" s="39">
        <v>1</v>
      </c>
      <c r="I55" s="38" t="s">
        <v>133</v>
      </c>
      <c r="J55" s="39">
        <v>3</v>
      </c>
      <c r="K55" s="45">
        <v>90221</v>
      </c>
      <c r="L55" s="46">
        <v>16240</v>
      </c>
      <c r="M55" s="46">
        <v>0</v>
      </c>
      <c r="N55" s="39"/>
      <c r="O55" s="45">
        <f t="shared" si="4"/>
        <v>73981</v>
      </c>
      <c r="P55" s="39">
        <v>0</v>
      </c>
      <c r="Q55" s="47" t="s">
        <v>46</v>
      </c>
    </row>
    <row r="56" spans="2:17" ht="19" customHeight="1">
      <c r="B56" s="37" t="s">
        <v>60</v>
      </c>
      <c r="C56" s="38" t="s">
        <v>61</v>
      </c>
      <c r="D56" s="39">
        <v>2</v>
      </c>
      <c r="E56" s="39">
        <f t="shared" si="3"/>
        <v>4</v>
      </c>
      <c r="F56" s="38" t="s">
        <v>132</v>
      </c>
      <c r="G56" s="38" t="s">
        <v>54</v>
      </c>
      <c r="H56" s="39">
        <v>1</v>
      </c>
      <c r="I56" s="38" t="s">
        <v>134</v>
      </c>
      <c r="J56" s="39">
        <v>2</v>
      </c>
      <c r="K56" s="45">
        <v>60390</v>
      </c>
      <c r="L56" s="46">
        <v>10870</v>
      </c>
      <c r="M56" s="46">
        <v>0</v>
      </c>
      <c r="N56" s="39"/>
      <c r="O56" s="45">
        <f t="shared" si="4"/>
        <v>49520</v>
      </c>
      <c r="P56" s="39">
        <v>0</v>
      </c>
      <c r="Q56" s="47" t="s">
        <v>46</v>
      </c>
    </row>
    <row r="57" spans="2:17" ht="19" customHeight="1">
      <c r="B57" s="37" t="s">
        <v>58</v>
      </c>
      <c r="C57" s="38" t="s">
        <v>124</v>
      </c>
      <c r="D57" s="39">
        <v>3</v>
      </c>
      <c r="E57" s="39">
        <f t="shared" si="3"/>
        <v>9</v>
      </c>
      <c r="F57" s="38" t="s">
        <v>132</v>
      </c>
      <c r="G57" s="38" t="s">
        <v>71</v>
      </c>
      <c r="H57" s="39">
        <v>1</v>
      </c>
      <c r="I57" s="38" t="s">
        <v>135</v>
      </c>
      <c r="J57" s="39">
        <v>3</v>
      </c>
      <c r="K57" s="45">
        <v>83776</v>
      </c>
      <c r="L57" s="46">
        <v>15080</v>
      </c>
      <c r="M57" s="46">
        <v>0</v>
      </c>
      <c r="N57" s="45">
        <f>SUM(O55:O57)</f>
        <v>192197</v>
      </c>
      <c r="O57" s="45">
        <f t="shared" si="4"/>
        <v>68696</v>
      </c>
      <c r="P57" s="39">
        <v>0</v>
      </c>
      <c r="Q57" s="47" t="s">
        <v>46</v>
      </c>
    </row>
    <row r="58" spans="2:17" ht="19" customHeight="1">
      <c r="B58" s="37" t="s">
        <v>41</v>
      </c>
      <c r="C58" s="38" t="s">
        <v>104</v>
      </c>
      <c r="D58" s="39">
        <v>3</v>
      </c>
      <c r="E58" s="39">
        <f t="shared" si="3"/>
        <v>6</v>
      </c>
      <c r="F58" s="49" t="s">
        <v>136</v>
      </c>
      <c r="G58" s="38" t="s">
        <v>49</v>
      </c>
      <c r="H58" s="39">
        <v>1</v>
      </c>
      <c r="I58" s="38" t="s">
        <v>137</v>
      </c>
      <c r="J58" s="39">
        <v>2</v>
      </c>
      <c r="K58" s="45">
        <v>58380</v>
      </c>
      <c r="L58" s="45">
        <f t="shared" ref="L58:L74" si="5">K58-O58</f>
        <v>7005</v>
      </c>
      <c r="M58" s="46">
        <v>0</v>
      </c>
      <c r="N58" s="48"/>
      <c r="O58" s="45">
        <v>51375</v>
      </c>
      <c r="P58" s="39">
        <v>0</v>
      </c>
      <c r="Q58" s="47" t="s">
        <v>46</v>
      </c>
    </row>
    <row r="59" spans="2:17" ht="19" customHeight="1">
      <c r="B59" s="37" t="s">
        <v>104</v>
      </c>
      <c r="C59" s="38" t="s">
        <v>99</v>
      </c>
      <c r="D59" s="39">
        <v>2</v>
      </c>
      <c r="E59" s="39">
        <f t="shared" si="3"/>
        <v>4</v>
      </c>
      <c r="F59" s="49" t="s">
        <v>136</v>
      </c>
      <c r="G59" s="38" t="s">
        <v>54</v>
      </c>
      <c r="H59" s="39">
        <v>1</v>
      </c>
      <c r="I59" s="38" t="s">
        <v>138</v>
      </c>
      <c r="J59" s="39">
        <v>2</v>
      </c>
      <c r="K59" s="45">
        <v>42700</v>
      </c>
      <c r="L59" s="45">
        <f t="shared" si="5"/>
        <v>5124</v>
      </c>
      <c r="M59" s="46">
        <v>0</v>
      </c>
      <c r="N59" s="48"/>
      <c r="O59" s="45">
        <v>37576</v>
      </c>
      <c r="P59" s="39">
        <v>0</v>
      </c>
      <c r="Q59" s="47" t="s">
        <v>46</v>
      </c>
    </row>
    <row r="60" spans="2:17" ht="19" customHeight="1">
      <c r="B60" s="37" t="s">
        <v>41</v>
      </c>
      <c r="C60" s="38" t="s">
        <v>52</v>
      </c>
      <c r="D60" s="39">
        <v>6</v>
      </c>
      <c r="E60" s="39">
        <f t="shared" si="3"/>
        <v>12</v>
      </c>
      <c r="F60" s="49" t="s">
        <v>136</v>
      </c>
      <c r="G60" s="38" t="s">
        <v>54</v>
      </c>
      <c r="H60" s="39">
        <v>1</v>
      </c>
      <c r="I60" s="38" t="s">
        <v>139</v>
      </c>
      <c r="J60" s="39">
        <v>2</v>
      </c>
      <c r="K60" s="45">
        <v>152500</v>
      </c>
      <c r="L60" s="45">
        <f t="shared" si="5"/>
        <v>18300</v>
      </c>
      <c r="M60" s="46">
        <v>0</v>
      </c>
      <c r="N60" s="48"/>
      <c r="O60" s="45">
        <v>134200</v>
      </c>
      <c r="P60" s="39">
        <v>0</v>
      </c>
      <c r="Q60" s="47" t="s">
        <v>46</v>
      </c>
    </row>
    <row r="61" spans="2:17" ht="19" customHeight="1">
      <c r="B61" s="37" t="s">
        <v>104</v>
      </c>
      <c r="C61" s="38" t="s">
        <v>52</v>
      </c>
      <c r="D61" s="39">
        <v>3</v>
      </c>
      <c r="E61" s="39">
        <f t="shared" si="3"/>
        <v>9</v>
      </c>
      <c r="F61" s="49" t="s">
        <v>136</v>
      </c>
      <c r="G61" s="38" t="s">
        <v>71</v>
      </c>
      <c r="H61" s="39">
        <v>1</v>
      </c>
      <c r="I61" s="38" t="s">
        <v>140</v>
      </c>
      <c r="J61" s="39">
        <v>3</v>
      </c>
      <c r="K61" s="45">
        <v>110980</v>
      </c>
      <c r="L61" s="45">
        <f t="shared" si="5"/>
        <v>13318</v>
      </c>
      <c r="M61" s="46">
        <v>0</v>
      </c>
      <c r="N61" s="48"/>
      <c r="O61" s="45">
        <v>97662</v>
      </c>
      <c r="P61" s="39">
        <v>0</v>
      </c>
      <c r="Q61" s="47" t="s">
        <v>46</v>
      </c>
    </row>
    <row r="62" spans="2:17" ht="19" customHeight="1">
      <c r="B62" s="37" t="s">
        <v>40</v>
      </c>
      <c r="C62" s="38" t="s">
        <v>47</v>
      </c>
      <c r="D62" s="39">
        <v>4</v>
      </c>
      <c r="E62" s="39">
        <f t="shared" si="3"/>
        <v>12</v>
      </c>
      <c r="F62" s="49" t="s">
        <v>136</v>
      </c>
      <c r="G62" s="38" t="s">
        <v>43</v>
      </c>
      <c r="H62" s="39">
        <v>1</v>
      </c>
      <c r="I62" s="38" t="s">
        <v>141</v>
      </c>
      <c r="J62" s="39">
        <v>3</v>
      </c>
      <c r="K62" s="45">
        <v>170720</v>
      </c>
      <c r="L62" s="45">
        <f t="shared" si="5"/>
        <v>20488</v>
      </c>
      <c r="M62" s="46">
        <v>0</v>
      </c>
      <c r="N62" s="39"/>
      <c r="O62" s="45">
        <v>150232</v>
      </c>
      <c r="P62" s="39">
        <v>0</v>
      </c>
      <c r="Q62" s="47" t="s">
        <v>46</v>
      </c>
    </row>
    <row r="63" spans="2:17" ht="19" customHeight="1">
      <c r="B63" s="37" t="s">
        <v>128</v>
      </c>
      <c r="C63" s="38" t="s">
        <v>53</v>
      </c>
      <c r="D63" s="39">
        <v>4</v>
      </c>
      <c r="E63" s="39">
        <f>D63*J63</f>
        <v>8</v>
      </c>
      <c r="F63" s="49" t="s">
        <v>136</v>
      </c>
      <c r="G63" s="38" t="s">
        <v>49</v>
      </c>
      <c r="H63" s="39">
        <v>1</v>
      </c>
      <c r="I63" s="38" t="s">
        <v>142</v>
      </c>
      <c r="J63" s="39">
        <v>2</v>
      </c>
      <c r="K63" s="45">
        <v>100080</v>
      </c>
      <c r="L63" s="45">
        <f t="shared" si="5"/>
        <v>12008</v>
      </c>
      <c r="M63" s="46">
        <v>0</v>
      </c>
      <c r="N63" s="39"/>
      <c r="O63" s="45">
        <v>88072</v>
      </c>
      <c r="P63" s="39">
        <v>0</v>
      </c>
      <c r="Q63" s="47" t="s">
        <v>46</v>
      </c>
    </row>
    <row r="64" spans="2:17" ht="19" customHeight="1">
      <c r="B64" s="37" t="s">
        <v>48</v>
      </c>
      <c r="C64" s="38" t="s">
        <v>60</v>
      </c>
      <c r="D64" s="39">
        <v>2</v>
      </c>
      <c r="E64" s="39">
        <f t="shared" si="3"/>
        <v>4</v>
      </c>
      <c r="F64" s="49" t="s">
        <v>136</v>
      </c>
      <c r="G64" s="38" t="s">
        <v>49</v>
      </c>
      <c r="H64" s="39">
        <v>1</v>
      </c>
      <c r="I64" s="38" t="s">
        <v>143</v>
      </c>
      <c r="J64" s="39">
        <v>2</v>
      </c>
      <c r="K64" s="45">
        <v>33360</v>
      </c>
      <c r="L64" s="45">
        <f t="shared" si="5"/>
        <v>4004</v>
      </c>
      <c r="M64" s="46">
        <v>0</v>
      </c>
      <c r="N64" s="39"/>
      <c r="O64" s="45">
        <v>29356</v>
      </c>
      <c r="P64" s="39">
        <v>0</v>
      </c>
      <c r="Q64" s="47" t="s">
        <v>46</v>
      </c>
    </row>
    <row r="65" spans="2:17" ht="19" customHeight="1">
      <c r="B65" s="37" t="s">
        <v>105</v>
      </c>
      <c r="C65" s="38" t="s">
        <v>60</v>
      </c>
      <c r="D65" s="39">
        <v>3</v>
      </c>
      <c r="E65" s="39">
        <f t="shared" si="3"/>
        <v>12</v>
      </c>
      <c r="F65" s="49" t="s">
        <v>136</v>
      </c>
      <c r="G65" s="38" t="s">
        <v>43</v>
      </c>
      <c r="H65" s="39">
        <v>1</v>
      </c>
      <c r="I65" s="38" t="s">
        <v>144</v>
      </c>
      <c r="J65" s="39">
        <v>4</v>
      </c>
      <c r="K65" s="45">
        <v>122760</v>
      </c>
      <c r="L65" s="45">
        <f t="shared" si="5"/>
        <v>14730</v>
      </c>
      <c r="M65" s="46">
        <v>0</v>
      </c>
      <c r="N65" s="39"/>
      <c r="O65" s="45">
        <v>108030</v>
      </c>
      <c r="P65" s="39">
        <v>0</v>
      </c>
      <c r="Q65" s="47" t="s">
        <v>46</v>
      </c>
    </row>
    <row r="66" spans="2:17" ht="19" customHeight="1">
      <c r="B66" s="37" t="s">
        <v>61</v>
      </c>
      <c r="C66" s="38" t="s">
        <v>68</v>
      </c>
      <c r="D66" s="39">
        <v>3</v>
      </c>
      <c r="E66" s="39">
        <f t="shared" si="3"/>
        <v>9</v>
      </c>
      <c r="F66" s="49" t="s">
        <v>136</v>
      </c>
      <c r="G66" s="38" t="s">
        <v>49</v>
      </c>
      <c r="H66" s="39">
        <v>1</v>
      </c>
      <c r="I66" s="38" t="s">
        <v>145</v>
      </c>
      <c r="J66" s="39">
        <v>3</v>
      </c>
      <c r="K66" s="45">
        <v>76380</v>
      </c>
      <c r="L66" s="45">
        <f t="shared" si="5"/>
        <v>9165</v>
      </c>
      <c r="M66" s="46">
        <v>0</v>
      </c>
      <c r="N66" s="39"/>
      <c r="O66" s="45">
        <v>67215</v>
      </c>
      <c r="P66" s="39">
        <v>0</v>
      </c>
      <c r="Q66" s="47" t="s">
        <v>46</v>
      </c>
    </row>
    <row r="67" spans="2:17" ht="19" customHeight="1">
      <c r="B67" s="37" t="s">
        <v>124</v>
      </c>
      <c r="C67" s="38" t="s">
        <v>65</v>
      </c>
      <c r="D67" s="39">
        <v>2</v>
      </c>
      <c r="E67" s="39">
        <f t="shared" si="3"/>
        <v>4</v>
      </c>
      <c r="F67" s="49" t="s">
        <v>136</v>
      </c>
      <c r="G67" s="38" t="s">
        <v>49</v>
      </c>
      <c r="H67" s="39">
        <v>1</v>
      </c>
      <c r="I67" s="38" t="s">
        <v>146</v>
      </c>
      <c r="J67" s="39">
        <v>2</v>
      </c>
      <c r="K67" s="45">
        <v>27800</v>
      </c>
      <c r="L67" s="45">
        <f t="shared" si="5"/>
        <v>3336</v>
      </c>
      <c r="M67" s="46">
        <v>0</v>
      </c>
      <c r="N67" s="39"/>
      <c r="O67" s="45">
        <v>24464</v>
      </c>
      <c r="P67" s="39">
        <v>0</v>
      </c>
      <c r="Q67" s="47" t="s">
        <v>46</v>
      </c>
    </row>
    <row r="68" spans="2:17" ht="19" customHeight="1">
      <c r="B68" s="37" t="s">
        <v>68</v>
      </c>
      <c r="C68" s="38" t="s">
        <v>69</v>
      </c>
      <c r="D68" s="39">
        <v>3</v>
      </c>
      <c r="E68" s="39">
        <f t="shared" si="3"/>
        <v>6</v>
      </c>
      <c r="F68" s="49" t="s">
        <v>136</v>
      </c>
      <c r="G68" s="38" t="s">
        <v>54</v>
      </c>
      <c r="H68" s="39">
        <v>1</v>
      </c>
      <c r="I68" s="38" t="s">
        <v>147</v>
      </c>
      <c r="J68" s="39">
        <v>2</v>
      </c>
      <c r="K68" s="45">
        <v>73200</v>
      </c>
      <c r="L68" s="45">
        <f t="shared" si="5"/>
        <v>8784</v>
      </c>
      <c r="M68" s="46">
        <v>0</v>
      </c>
      <c r="N68" s="39"/>
      <c r="O68" s="45">
        <v>64416</v>
      </c>
      <c r="P68" s="39">
        <v>0</v>
      </c>
      <c r="Q68" s="47" t="s">
        <v>46</v>
      </c>
    </row>
    <row r="69" spans="2:17" ht="19" customHeight="1">
      <c r="B69" s="37" t="s">
        <v>112</v>
      </c>
      <c r="C69" s="38" t="s">
        <v>77</v>
      </c>
      <c r="D69" s="39">
        <v>2</v>
      </c>
      <c r="E69" s="39">
        <f t="shared" ref="E69:E75" si="6">D69*J69</f>
        <v>8</v>
      </c>
      <c r="F69" s="49" t="s">
        <v>136</v>
      </c>
      <c r="G69" s="38" t="s">
        <v>56</v>
      </c>
      <c r="H69" s="39">
        <v>1</v>
      </c>
      <c r="I69" s="38" t="s">
        <v>148</v>
      </c>
      <c r="J69" s="39">
        <v>4</v>
      </c>
      <c r="K69" s="45">
        <v>60000</v>
      </c>
      <c r="L69" s="45">
        <f t="shared" si="5"/>
        <v>7200</v>
      </c>
      <c r="M69" s="46">
        <v>0</v>
      </c>
      <c r="N69" s="39"/>
      <c r="O69" s="45">
        <v>52800</v>
      </c>
      <c r="P69" s="39">
        <v>0</v>
      </c>
      <c r="Q69" s="47" t="s">
        <v>46</v>
      </c>
    </row>
    <row r="70" spans="2:17" ht="19" customHeight="1">
      <c r="B70" s="37" t="s">
        <v>112</v>
      </c>
      <c r="C70" s="38" t="s">
        <v>77</v>
      </c>
      <c r="D70" s="39">
        <v>2</v>
      </c>
      <c r="E70" s="39">
        <f t="shared" si="6"/>
        <v>4</v>
      </c>
      <c r="F70" s="49" t="s">
        <v>136</v>
      </c>
      <c r="G70" s="38" t="s">
        <v>54</v>
      </c>
      <c r="H70" s="39">
        <v>1</v>
      </c>
      <c r="I70" s="38" t="s">
        <v>149</v>
      </c>
      <c r="J70" s="39">
        <v>2</v>
      </c>
      <c r="K70" s="45">
        <v>48800</v>
      </c>
      <c r="L70" s="45">
        <f t="shared" si="5"/>
        <v>5856</v>
      </c>
      <c r="M70" s="46">
        <v>0</v>
      </c>
      <c r="N70" s="39"/>
      <c r="O70" s="45">
        <v>42944</v>
      </c>
      <c r="P70" s="39">
        <v>0</v>
      </c>
      <c r="Q70" s="47" t="s">
        <v>46</v>
      </c>
    </row>
    <row r="71" spans="2:17" ht="19" customHeight="1">
      <c r="B71" s="37" t="s">
        <v>70</v>
      </c>
      <c r="C71" s="38" t="s">
        <v>80</v>
      </c>
      <c r="D71" s="39">
        <v>4</v>
      </c>
      <c r="E71" s="39">
        <f t="shared" si="6"/>
        <v>16</v>
      </c>
      <c r="F71" s="49" t="s">
        <v>136</v>
      </c>
      <c r="G71" s="38" t="s">
        <v>56</v>
      </c>
      <c r="H71" s="39">
        <v>1</v>
      </c>
      <c r="I71" s="38" t="s">
        <v>150</v>
      </c>
      <c r="J71" s="39">
        <v>4</v>
      </c>
      <c r="K71" s="45">
        <v>165000</v>
      </c>
      <c r="L71" s="45">
        <f t="shared" si="5"/>
        <v>19800</v>
      </c>
      <c r="M71" s="46">
        <v>0</v>
      </c>
      <c r="N71" s="39"/>
      <c r="O71" s="45">
        <v>145200</v>
      </c>
      <c r="P71" s="39">
        <v>0</v>
      </c>
      <c r="Q71" s="47" t="s">
        <v>46</v>
      </c>
    </row>
    <row r="72" spans="2:17" ht="19" customHeight="1">
      <c r="B72" s="37" t="s">
        <v>80</v>
      </c>
      <c r="C72" s="38" t="s">
        <v>88</v>
      </c>
      <c r="D72" s="39">
        <v>2</v>
      </c>
      <c r="E72" s="39">
        <f t="shared" si="6"/>
        <v>4</v>
      </c>
      <c r="F72" s="49" t="s">
        <v>136</v>
      </c>
      <c r="G72" s="38" t="s">
        <v>49</v>
      </c>
      <c r="H72" s="39">
        <v>1</v>
      </c>
      <c r="I72" s="38" t="s">
        <v>151</v>
      </c>
      <c r="J72" s="39">
        <v>2</v>
      </c>
      <c r="K72" s="45">
        <v>58380</v>
      </c>
      <c r="L72" s="45">
        <f t="shared" si="5"/>
        <v>7006</v>
      </c>
      <c r="M72" s="46">
        <v>0</v>
      </c>
      <c r="N72" s="39"/>
      <c r="O72" s="45">
        <v>51374</v>
      </c>
      <c r="P72" s="39">
        <v>0</v>
      </c>
      <c r="Q72" s="47" t="s">
        <v>46</v>
      </c>
    </row>
    <row r="73" spans="2:17" ht="19" customHeight="1">
      <c r="B73" s="37" t="s">
        <v>80</v>
      </c>
      <c r="C73" s="38" t="s">
        <v>90</v>
      </c>
      <c r="D73" s="39">
        <v>3</v>
      </c>
      <c r="E73" s="39">
        <f t="shared" si="6"/>
        <v>6</v>
      </c>
      <c r="F73" s="49" t="s">
        <v>136</v>
      </c>
      <c r="G73" s="38" t="s">
        <v>49</v>
      </c>
      <c r="H73" s="39">
        <v>1</v>
      </c>
      <c r="I73" s="38" t="s">
        <v>152</v>
      </c>
      <c r="J73" s="39">
        <v>2</v>
      </c>
      <c r="K73" s="45">
        <v>86180</v>
      </c>
      <c r="L73" s="45">
        <f t="shared" si="5"/>
        <v>10342</v>
      </c>
      <c r="M73" s="46">
        <v>0</v>
      </c>
      <c r="N73" s="39"/>
      <c r="O73" s="45">
        <v>75838</v>
      </c>
      <c r="P73" s="39">
        <v>0</v>
      </c>
      <c r="Q73" s="47" t="s">
        <v>46</v>
      </c>
    </row>
    <row r="74" spans="2:17" ht="19" customHeight="1">
      <c r="B74" s="37" t="s">
        <v>88</v>
      </c>
      <c r="C74" s="38" t="s">
        <v>92</v>
      </c>
      <c r="D74" s="39">
        <v>3</v>
      </c>
      <c r="E74" s="39">
        <f t="shared" si="6"/>
        <v>6</v>
      </c>
      <c r="F74" s="49" t="s">
        <v>136</v>
      </c>
      <c r="G74" s="38" t="s">
        <v>49</v>
      </c>
      <c r="H74" s="39">
        <v>1</v>
      </c>
      <c r="I74" s="38" t="s">
        <v>153</v>
      </c>
      <c r="J74" s="39">
        <v>2</v>
      </c>
      <c r="K74" s="45">
        <v>45870</v>
      </c>
      <c r="L74" s="45">
        <f t="shared" si="5"/>
        <v>5505</v>
      </c>
      <c r="M74" s="46">
        <v>0</v>
      </c>
      <c r="N74" s="39"/>
      <c r="O74" s="45">
        <v>40365</v>
      </c>
      <c r="P74" s="39">
        <v>0</v>
      </c>
      <c r="Q74" s="47" t="s">
        <v>46</v>
      </c>
    </row>
    <row r="75" spans="2:17" ht="19" customHeight="1">
      <c r="B75" s="37" t="s">
        <v>154</v>
      </c>
      <c r="C75" s="38" t="s">
        <v>155</v>
      </c>
      <c r="D75" s="38">
        <f>C75-B75</f>
        <v>2</v>
      </c>
      <c r="E75" s="39">
        <f t="shared" si="6"/>
        <v>4</v>
      </c>
      <c r="F75" s="49" t="s">
        <v>136</v>
      </c>
      <c r="G75" s="38" t="s">
        <v>49</v>
      </c>
      <c r="H75" s="39">
        <v>1</v>
      </c>
      <c r="I75" s="38" t="s">
        <v>156</v>
      </c>
      <c r="J75" s="39">
        <v>2</v>
      </c>
      <c r="K75" s="45">
        <v>22240</v>
      </c>
      <c r="L75" s="45">
        <v>2668</v>
      </c>
      <c r="M75" s="46">
        <v>0</v>
      </c>
      <c r="N75" s="39"/>
      <c r="O75" s="45">
        <f>K75-L75</f>
        <v>19572</v>
      </c>
      <c r="P75" s="39">
        <v>0</v>
      </c>
      <c r="Q75" s="47" t="s">
        <v>46</v>
      </c>
    </row>
    <row r="76" spans="2:17" ht="19" customHeight="1" thickBot="1">
      <c r="B76" s="40" t="s">
        <v>116</v>
      </c>
      <c r="C76" s="41" t="s">
        <v>94</v>
      </c>
      <c r="D76" s="42">
        <v>2</v>
      </c>
      <c r="E76" s="42">
        <f>D76*J76</f>
        <v>4</v>
      </c>
      <c r="F76" s="50" t="s">
        <v>136</v>
      </c>
      <c r="G76" s="41" t="s">
        <v>49</v>
      </c>
      <c r="H76" s="42">
        <v>1</v>
      </c>
      <c r="I76" s="41" t="s">
        <v>157</v>
      </c>
      <c r="J76" s="42">
        <v>2</v>
      </c>
      <c r="K76" s="51">
        <v>30580</v>
      </c>
      <c r="L76" s="51">
        <f>K76-O76</f>
        <v>3670</v>
      </c>
      <c r="M76" s="52">
        <v>0</v>
      </c>
      <c r="N76" s="51">
        <f>SUM(O58:O76)</f>
        <v>1307601</v>
      </c>
      <c r="O76" s="51">
        <v>26910</v>
      </c>
      <c r="P76" s="42">
        <v>0</v>
      </c>
      <c r="Q76" s="53" t="s">
        <v>46</v>
      </c>
    </row>
    <row r="77" spans="2:17" ht="23" customHeight="1">
      <c r="B77" s="43"/>
      <c r="C77" s="43"/>
      <c r="D77" s="44"/>
      <c r="E77" s="44"/>
      <c r="F77" s="44"/>
      <c r="G77" s="44"/>
      <c r="H77" s="44"/>
      <c r="I77" s="44"/>
      <c r="J77" s="44"/>
      <c r="K77" s="54"/>
      <c r="L77" s="44"/>
      <c r="M77" s="44"/>
      <c r="N77" s="44"/>
      <c r="O77" s="54"/>
      <c r="P77" s="44"/>
      <c r="Q77" s="44"/>
    </row>
  </sheetData>
  <autoFilter ref="B3:XEV76" xr:uid="{03A5E669-81A6-F448-99F5-F856E57D5EB2}"/>
  <phoneticPr fontId="1"/>
  <hyperlinks>
    <hyperlink ref="F76" r:id="rId1" xr:uid="{233BFFDC-B00B-CE48-ABAF-6E7CAF03A743}"/>
    <hyperlink ref="F67" r:id="rId2" xr:uid="{6969C327-B469-5B40-8CF1-0CC04D199300}"/>
    <hyperlink ref="F74" r:id="rId3" xr:uid="{3523766D-7AB6-F648-9DF2-5D32BD48C5E6}"/>
    <hyperlink ref="F64" r:id="rId4" xr:uid="{A04D262A-35B6-E848-A36F-AE5E4ED23AB3}"/>
    <hyperlink ref="F52" r:id="rId5" xr:uid="{3CB2A468-8773-F44E-AE75-CFB24116D5E1}"/>
    <hyperlink ref="F65" r:id="rId6" xr:uid="{155E8993-9CEE-3448-960F-2C9DD6E0365D}"/>
    <hyperlink ref="F66" r:id="rId7" xr:uid="{CACC9A2E-84AF-0446-91FC-4EE69DA66488}"/>
    <hyperlink ref="F69" r:id="rId8" xr:uid="{945A66FC-3B7B-A744-9151-71B4F72D3695}"/>
    <hyperlink ref="F72" r:id="rId9" xr:uid="{1EFFBBC5-4C31-6B47-A82D-F6CA1283757B}"/>
    <hyperlink ref="F49" r:id="rId10" xr:uid="{7EA93013-4201-7E40-88D7-04A0367B8189}"/>
    <hyperlink ref="F73" r:id="rId11" xr:uid="{CDA0F1E8-2378-5D48-9524-23C987D83291}"/>
    <hyperlink ref="F53" r:id="rId12" xr:uid="{E57D0B99-F3E6-2842-9419-5DF421CE4B9E}"/>
    <hyperlink ref="F50" r:id="rId13" xr:uid="{C20016B4-5950-6443-B5B8-D726120E9EC5}"/>
    <hyperlink ref="F63" r:id="rId14" xr:uid="{42AC6B4F-A1B4-7F4B-B875-AB4802D0C798}"/>
    <hyperlink ref="F58" r:id="rId15" xr:uid="{05493E11-106E-5344-A768-F82787D26427}"/>
    <hyperlink ref="F59" r:id="rId16" xr:uid="{776BF3A4-8C51-2B40-A22A-3F771A19ED8B}"/>
    <hyperlink ref="F68" r:id="rId17" xr:uid="{FB5A3F57-AF20-8B41-8E14-6334B4B6D61B}"/>
    <hyperlink ref="F60" r:id="rId18" xr:uid="{9572BF4D-6072-EA4B-A806-AED46EEC15B7}"/>
    <hyperlink ref="F70" r:id="rId19" xr:uid="{C50E36E2-6B30-9649-9A03-CC7FD90AA371}"/>
    <hyperlink ref="F71" r:id="rId20" xr:uid="{D8C431C9-ABED-C04E-90F4-212F39BDD78C}"/>
    <hyperlink ref="F61" r:id="rId21" xr:uid="{35AA1377-16B5-644A-833E-CC214BF70DD7}"/>
    <hyperlink ref="F46" r:id="rId22" xr:uid="{C051CA8C-5C30-2F47-93E4-0043BEC8CFC2}"/>
    <hyperlink ref="F45" r:id="rId23" xr:uid="{0BFABD25-7919-D647-8005-DF91D578BB80}"/>
    <hyperlink ref="F62" r:id="rId24" xr:uid="{855C7CB2-50BD-B74E-8923-15A14B0DEE6F}"/>
    <hyperlink ref="F54" r:id="rId25" xr:uid="{4B699464-1A7B-CC4E-A3FD-156649AB1E8D}"/>
    <hyperlink ref="F48" r:id="rId26" xr:uid="{51D765E9-A8DE-B742-9972-E0783279AFD0}"/>
    <hyperlink ref="F51" r:id="rId27" xr:uid="{BCD274D1-ED31-684E-8159-AF3F915BBE4D}"/>
    <hyperlink ref="F47" r:id="rId28" xr:uid="{80E102B0-16B7-CA4C-950D-E5AACA52423B}"/>
    <hyperlink ref="F75" r:id="rId29" xr:uid="{0457B4E0-61BE-E547-863B-B2841324A7A7}"/>
  </hyperlinks>
  <pageMargins left="0.7" right="0.7" top="0.75" bottom="0.75" header="0.3" footer="0.3"/>
  <pageSetup paperSize="9" orientation="portrait" horizontalDpi="0" verticalDpi="0"/>
  <legacyDrawing r:id="rId3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F953-24E9-C743-B7E2-30E79C70B737}">
  <sheetPr>
    <tabColor theme="7" tint="0.79998168889431442"/>
    <pageSetUpPr fitToPage="1"/>
  </sheetPr>
  <dimension ref="B2:W31"/>
  <sheetViews>
    <sheetView zoomScale="83" workbookViewId="0">
      <selection activeCell="P17" sqref="P17"/>
    </sheetView>
  </sheetViews>
  <sheetFormatPr baseColWidth="10" defaultRowHeight="16"/>
  <cols>
    <col min="2" max="2" width="29.6640625" customWidth="1"/>
    <col min="3" max="3" width="15.33203125" customWidth="1"/>
    <col min="4" max="4" width="3.33203125" customWidth="1"/>
    <col min="5" max="5" width="13.6640625" customWidth="1"/>
    <col min="6" max="6" width="14" customWidth="1"/>
    <col min="7" max="8" width="14.33203125" customWidth="1"/>
    <col min="14" max="14" width="0" hidden="1" customWidth="1"/>
    <col min="15" max="15" width="13.5" bestFit="1" customWidth="1"/>
    <col min="20" max="20" width="14.83203125" customWidth="1"/>
    <col min="21" max="23" width="12.6640625" customWidth="1"/>
  </cols>
  <sheetData>
    <row r="2" spans="2:23" ht="39">
      <c r="B2" s="440" t="s">
        <v>464</v>
      </c>
      <c r="C2" s="441"/>
      <c r="D2" s="441"/>
      <c r="E2" s="442"/>
      <c r="F2" s="442"/>
      <c r="G2" s="442"/>
      <c r="H2" s="443"/>
      <c r="I2" s="96"/>
      <c r="J2" s="101" t="s">
        <v>499</v>
      </c>
      <c r="K2" s="102" t="s">
        <v>500</v>
      </c>
      <c r="L2" s="103" t="s">
        <v>476</v>
      </c>
      <c r="M2" s="10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74" t="s">
        <v>465</v>
      </c>
      <c r="C3" s="74"/>
      <c r="D3" s="75"/>
      <c r="E3" s="76" t="s">
        <v>466</v>
      </c>
      <c r="F3" s="77"/>
      <c r="G3" s="77"/>
      <c r="H3" s="78"/>
      <c r="I3" s="96"/>
      <c r="J3" s="109">
        <v>101</v>
      </c>
      <c r="K3" s="446" t="e">
        <f>R3/Q3</f>
        <v>#DIV/0!</v>
      </c>
      <c r="L3" s="450">
        <v>3</v>
      </c>
      <c r="M3" s="452">
        <v>29.9</v>
      </c>
      <c r="N3" s="110">
        <f>L3*M3</f>
        <v>89.699999999999989</v>
      </c>
      <c r="O3" s="454">
        <v>1932862</v>
      </c>
      <c r="P3" s="456">
        <f>Q3/(L3*C22)*100%</f>
        <v>0</v>
      </c>
      <c r="Q3" s="460"/>
      <c r="R3" s="460">
        <v>54</v>
      </c>
      <c r="S3" s="460">
        <f>L3*C22</f>
        <v>93</v>
      </c>
      <c r="T3" s="454" t="e">
        <f>O3/Q3</f>
        <v>#DIV/0!</v>
      </c>
      <c r="U3" s="454">
        <f>O3/R3</f>
        <v>35793.740740740737</v>
      </c>
      <c r="V3" s="454">
        <f>O3/S3</f>
        <v>20783.462365591397</v>
      </c>
      <c r="W3" s="462">
        <f>IFERROR(O3/(N3*C22),0)</f>
        <v>695.09907577228762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I4" s="96"/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45931</v>
      </c>
      <c r="D5" s="75"/>
      <c r="E5" s="84" t="s">
        <v>96</v>
      </c>
      <c r="F5" s="86">
        <v>1926460</v>
      </c>
      <c r="G5" s="87">
        <v>19</v>
      </c>
      <c r="H5" s="88">
        <f>IFERROR(F5/$F$13,0)</f>
        <v>0.2859372219327086</v>
      </c>
      <c r="I5" s="96"/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45961</v>
      </c>
      <c r="D6" s="75"/>
      <c r="E6" s="84" t="s">
        <v>119</v>
      </c>
      <c r="F6" s="86">
        <v>1263819</v>
      </c>
      <c r="G6" s="87">
        <v>10</v>
      </c>
      <c r="H6" s="88">
        <f t="shared" ref="H6:H13" si="0">IFERROR(F6/$F$13,0)</f>
        <v>0.18758390721103674</v>
      </c>
      <c r="I6" s="96"/>
      <c r="J6" s="111">
        <v>102</v>
      </c>
      <c r="K6" s="449" t="e">
        <f>R6/Q6</f>
        <v>#DIV/0!</v>
      </c>
      <c r="L6" s="451">
        <v>2</v>
      </c>
      <c r="M6" s="453">
        <v>36.700000000000003</v>
      </c>
      <c r="N6" s="87">
        <f>L6*M6</f>
        <v>73.400000000000006</v>
      </c>
      <c r="O6" s="455">
        <v>1324310</v>
      </c>
      <c r="P6" s="459">
        <f>Q6/S6*100%</f>
        <v>0</v>
      </c>
      <c r="Q6" s="461"/>
      <c r="R6" s="461">
        <v>30</v>
      </c>
      <c r="S6" s="461">
        <f>L6*C22</f>
        <v>62</v>
      </c>
      <c r="T6" s="455" t="e">
        <f>O6/Q6</f>
        <v>#DIV/0!</v>
      </c>
      <c r="U6" s="455">
        <f>O6/R6</f>
        <v>44143.666666666664</v>
      </c>
      <c r="V6" s="455">
        <f>O6/S6</f>
        <v>21359.83870967742</v>
      </c>
      <c r="W6" s="463">
        <f>IFERROR(O6/(N6*C22),0)</f>
        <v>582.01195394216404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1826777</v>
      </c>
      <c r="G7" s="87">
        <v>22</v>
      </c>
      <c r="H7" s="88">
        <f t="shared" si="0"/>
        <v>0.27114164865637885</v>
      </c>
      <c r="I7" s="96"/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234387</v>
      </c>
      <c r="G8" s="87">
        <v>3</v>
      </c>
      <c r="H8" s="88">
        <f t="shared" si="0"/>
        <v>3.4789182042264964E-2</v>
      </c>
      <c r="I8" s="96"/>
      <c r="J8" s="111">
        <v>202</v>
      </c>
      <c r="K8" s="449" t="e">
        <f>R8/Q8</f>
        <v>#DIV/0!</v>
      </c>
      <c r="L8" s="451">
        <v>2</v>
      </c>
      <c r="M8" s="453">
        <v>43.1</v>
      </c>
      <c r="N8" s="87">
        <f>L8*M8</f>
        <v>86.2</v>
      </c>
      <c r="O8" s="455">
        <v>2003479</v>
      </c>
      <c r="P8" s="459">
        <f>Q8/S8*100%</f>
        <v>0</v>
      </c>
      <c r="Q8" s="461"/>
      <c r="R8" s="461">
        <v>52</v>
      </c>
      <c r="S8" s="461">
        <f>L8*C22</f>
        <v>62</v>
      </c>
      <c r="T8" s="455" t="e">
        <f>O8/Q8</f>
        <v>#DIV/0!</v>
      </c>
      <c r="U8" s="455">
        <f>O8/R8</f>
        <v>38528.442307692305</v>
      </c>
      <c r="V8" s="455">
        <f>O8/S8</f>
        <v>32314.177419354837</v>
      </c>
      <c r="W8" s="463">
        <f>IFERROR(O8/(N8*C22),0)</f>
        <v>749.74889604071541</v>
      </c>
    </row>
    <row r="9" spans="2:23">
      <c r="B9" s="84" t="s">
        <v>477</v>
      </c>
      <c r="C9" s="91">
        <f>[1]予約明細!P1</f>
        <v>6737353</v>
      </c>
      <c r="D9" s="75"/>
      <c r="E9" s="84" t="s">
        <v>136</v>
      </c>
      <c r="F9" s="86">
        <v>1485910</v>
      </c>
      <c r="G9" s="87">
        <v>19</v>
      </c>
      <c r="H9" s="88">
        <f t="shared" si="0"/>
        <v>0.22054804015761087</v>
      </c>
      <c r="I9" s="96"/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'2025年10月予約一覧表'!J2</f>
        <v>186</v>
      </c>
      <c r="D10" s="75"/>
      <c r="E10" s="90" t="s">
        <v>479</v>
      </c>
      <c r="F10" s="86">
        <v>0</v>
      </c>
      <c r="G10" s="87">
        <v>0</v>
      </c>
      <c r="H10" s="88">
        <f t="shared" si="0"/>
        <v>0</v>
      </c>
      <c r="I10" s="96"/>
      <c r="J10" s="111">
        <v>403</v>
      </c>
      <c r="K10" s="116" t="e">
        <f>R10/Q10</f>
        <v>#DIV/0!</v>
      </c>
      <c r="L10" s="112">
        <v>1</v>
      </c>
      <c r="M10" s="87">
        <v>46.64</v>
      </c>
      <c r="N10" s="87"/>
      <c r="O10" s="86">
        <v>796702</v>
      </c>
      <c r="P10" s="117">
        <f>Q10/S10*100%</f>
        <v>0</v>
      </c>
      <c r="Q10" s="113"/>
      <c r="R10" s="113">
        <v>23</v>
      </c>
      <c r="S10" s="113">
        <f>L10*C22</f>
        <v>31</v>
      </c>
      <c r="T10" s="86" t="e">
        <f>O10/Q10</f>
        <v>#DIV/0!</v>
      </c>
      <c r="U10" s="86">
        <f>O10/R10</f>
        <v>34639.217391304344</v>
      </c>
      <c r="V10" s="86">
        <f>O10/S10</f>
        <v>25700.064516129034</v>
      </c>
      <c r="W10" s="114">
        <f>IFERROR(O10/(M10*C22),0)</f>
        <v>551.03054279865</v>
      </c>
    </row>
    <row r="11" spans="2:23">
      <c r="B11" s="84" t="s">
        <v>480</v>
      </c>
      <c r="C11" s="89">
        <f>'2025年10月予約一覧表'!E2</f>
        <v>609</v>
      </c>
      <c r="D11" s="75"/>
      <c r="E11" s="90" t="s">
        <v>239</v>
      </c>
      <c r="F11" s="86">
        <v>0</v>
      </c>
      <c r="G11" s="87">
        <v>0</v>
      </c>
      <c r="H11" s="88">
        <f t="shared" si="0"/>
        <v>0</v>
      </c>
      <c r="I11" s="96"/>
      <c r="J11" s="118">
        <v>401</v>
      </c>
      <c r="K11" s="119" t="e">
        <f>R11/Q11</f>
        <v>#DIV/0!</v>
      </c>
      <c r="L11" s="120">
        <v>1</v>
      </c>
      <c r="M11" s="121">
        <v>60.22</v>
      </c>
      <c r="N11" s="121"/>
      <c r="O11" s="122">
        <v>680000</v>
      </c>
      <c r="P11" s="115">
        <f>Q11/S11*100%</f>
        <v>0</v>
      </c>
      <c r="Q11" s="123"/>
      <c r="R11" s="123">
        <v>27</v>
      </c>
      <c r="S11" s="123">
        <f>L11*C22</f>
        <v>31</v>
      </c>
      <c r="T11" s="122" t="e">
        <f>O11/Q11</f>
        <v>#DIV/0!</v>
      </c>
      <c r="U11" s="122">
        <f>O11/R11</f>
        <v>25185.185185185186</v>
      </c>
      <c r="V11" s="122">
        <f>O11/S11</f>
        <v>21935.483870967742</v>
      </c>
      <c r="W11" s="124">
        <f>IFERROR(O11/(M11*C22),0)</f>
        <v>364.2557932741239</v>
      </c>
    </row>
    <row r="12" spans="2:23">
      <c r="B12" s="84" t="s">
        <v>481</v>
      </c>
      <c r="C12" s="89">
        <v>9</v>
      </c>
      <c r="D12" s="75"/>
      <c r="E12" s="84" t="s">
        <v>482</v>
      </c>
      <c r="F12" s="86">
        <v>0</v>
      </c>
      <c r="G12" s="87">
        <v>0</v>
      </c>
      <c r="H12" s="88">
        <f t="shared" si="0"/>
        <v>0</v>
      </c>
      <c r="I12" s="96"/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 t="shared" ref="O12" si="1">SUM(O3:O11)</f>
        <v>6737353</v>
      </c>
      <c r="P12" s="129"/>
      <c r="Q12" s="130">
        <f t="shared" ref="Q12:S12" si="2">SUM(Q3:Q11)</f>
        <v>0</v>
      </c>
      <c r="R12" s="130">
        <f t="shared" si="2"/>
        <v>186</v>
      </c>
      <c r="S12" s="130">
        <f t="shared" si="2"/>
        <v>279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279</v>
      </c>
      <c r="D13" s="75"/>
      <c r="E13" s="92" t="s">
        <v>160</v>
      </c>
      <c r="F13" s="93">
        <f>SUM(F5:F12)</f>
        <v>6737353</v>
      </c>
      <c r="G13" s="94">
        <f>SUM(G5:G12)</f>
        <v>73</v>
      </c>
      <c r="H13" s="95">
        <f t="shared" si="0"/>
        <v>1</v>
      </c>
      <c r="I13" s="96"/>
      <c r="J13" s="96"/>
      <c r="K13" s="96"/>
      <c r="L13" s="96"/>
      <c r="M13" s="96"/>
      <c r="N13" s="96"/>
      <c r="O13" s="96"/>
      <c r="P13" s="138"/>
      <c r="Q13" s="139"/>
      <c r="R13" s="96"/>
      <c r="S13" s="96"/>
      <c r="T13" s="96"/>
      <c r="U13" s="96"/>
      <c r="V13" s="96"/>
      <c r="W13" s="96"/>
    </row>
    <row r="14" spans="2:23">
      <c r="B14" s="84" t="s">
        <v>484</v>
      </c>
      <c r="C14" s="89">
        <f>'2025年10月予約一覧表'!D2</f>
        <v>239</v>
      </c>
      <c r="D14" s="7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spans="2:23">
      <c r="B15" s="84" t="s">
        <v>485</v>
      </c>
      <c r="C15" s="89"/>
      <c r="D15" s="75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spans="2:23">
      <c r="B16" s="84" t="s">
        <v>486</v>
      </c>
      <c r="C16" s="89">
        <f>'2025年10月予約一覧表'!H2</f>
        <v>73</v>
      </c>
      <c r="D16" s="7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</row>
    <row r="17" spans="2:23">
      <c r="B17" s="92" t="s">
        <v>487</v>
      </c>
      <c r="C17" s="97"/>
      <c r="D17" s="75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</row>
    <row r="18" spans="2:23">
      <c r="B18" s="98" t="s">
        <v>488</v>
      </c>
      <c r="C18" s="75"/>
      <c r="D18" s="75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</row>
    <row r="19" spans="2:23">
      <c r="B19" s="98" t="s">
        <v>489</v>
      </c>
      <c r="C19" s="75"/>
      <c r="D19" s="75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spans="2:23">
      <c r="B20" s="75"/>
      <c r="C20" s="75"/>
      <c r="D20" s="75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spans="2:23">
      <c r="B21" s="99" t="s">
        <v>490</v>
      </c>
      <c r="C21" s="99"/>
      <c r="D21" s="75"/>
      <c r="E21" s="75"/>
      <c r="F21" s="75"/>
      <c r="G21" s="75"/>
      <c r="H21" s="75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spans="2:23">
      <c r="B22" s="79" t="s">
        <v>491</v>
      </c>
      <c r="C22" s="80">
        <f>DATEDIF(C5,C6,"D")+1</f>
        <v>31</v>
      </c>
      <c r="D22" s="75"/>
      <c r="E22" s="75"/>
      <c r="F22" s="75"/>
      <c r="G22" s="75"/>
      <c r="H22" s="7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spans="2:23">
      <c r="B23" s="84" t="s">
        <v>492</v>
      </c>
      <c r="C23" s="100">
        <f>IFERROR(C14/C13,0)</f>
        <v>0.85663082437275984</v>
      </c>
      <c r="D23" s="75"/>
      <c r="E23" s="75"/>
      <c r="F23" s="75"/>
      <c r="G23" s="75"/>
      <c r="H23" s="75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spans="2:23">
      <c r="B24" s="84" t="s">
        <v>493</v>
      </c>
      <c r="C24" s="91">
        <f>IFERROR(C9/C14,0)</f>
        <v>28189.761506276151</v>
      </c>
      <c r="D24" s="75"/>
      <c r="E24" s="75"/>
      <c r="F24" s="75"/>
      <c r="G24" s="75"/>
      <c r="H24" s="75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spans="2:23">
      <c r="B25" s="84" t="s">
        <v>494</v>
      </c>
      <c r="C25" s="91">
        <f>IFERROR(C9/C11,0)</f>
        <v>11062.977011494253</v>
      </c>
      <c r="D25" s="75"/>
      <c r="E25" s="75"/>
      <c r="F25" s="75"/>
      <c r="G25" s="75"/>
      <c r="H25" s="7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spans="2:23">
      <c r="B26" s="84" t="s">
        <v>495</v>
      </c>
      <c r="C26" s="91">
        <f>IFERROR(C9/C13,0)</f>
        <v>24148.218637992832</v>
      </c>
      <c r="D26" s="75"/>
      <c r="E26" s="75"/>
      <c r="F26" s="75"/>
      <c r="G26" s="75"/>
      <c r="H26" s="7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spans="2:23">
      <c r="B27" s="84" t="s">
        <v>496</v>
      </c>
      <c r="C27" s="91">
        <f>IFERROR(C9/(C7*C22),0)</f>
        <v>610.48867343240306</v>
      </c>
      <c r="D27" s="75"/>
      <c r="E27" s="75"/>
      <c r="F27" s="75"/>
      <c r="G27" s="75"/>
      <c r="H27" s="75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spans="2:23">
      <c r="B28" s="84" t="s">
        <v>497</v>
      </c>
      <c r="C28" s="100">
        <f>IFERROR(C15/C16,0)</f>
        <v>0</v>
      </c>
      <c r="D28" s="75"/>
      <c r="E28" s="75"/>
      <c r="F28" s="75"/>
      <c r="G28" s="75"/>
      <c r="H28" s="7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spans="2:23">
      <c r="B29" s="92" t="s">
        <v>498</v>
      </c>
      <c r="C29" s="97">
        <f>IFERROR(C17/(C14+C17),0)</f>
        <v>0</v>
      </c>
      <c r="D29" s="75"/>
      <c r="E29" s="75"/>
      <c r="F29" s="75"/>
      <c r="G29" s="75"/>
      <c r="H29" s="75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  <row r="30" spans="2:23"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</row>
    <row r="31" spans="2:23"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</row>
  </sheetData>
  <mergeCells count="37"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P3:P5"/>
    <mergeCell ref="B2:H2"/>
    <mergeCell ref="K3:K5"/>
    <mergeCell ref="L3:L5"/>
    <mergeCell ref="M3:M5"/>
    <mergeCell ref="O3:O5"/>
  </mergeCells>
  <phoneticPr fontId="1"/>
  <pageMargins left="0.7" right="0.7" top="0.75" bottom="0.75" header="0.3" footer="0.3"/>
  <pageSetup paperSize="9" scale="3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67AA-3965-C640-84B5-3A73E756DFC1}">
  <sheetPr>
    <tabColor theme="9" tint="0.79998168889431442"/>
    <pageSetUpPr fitToPage="1"/>
  </sheetPr>
  <dimension ref="B1:XET321"/>
  <sheetViews>
    <sheetView workbookViewId="0">
      <selection activeCell="C20" sqref="C20"/>
    </sheetView>
  </sheetViews>
  <sheetFormatPr baseColWidth="10" defaultColWidth="4.83203125" defaultRowHeight="22" customHeight="1"/>
  <cols>
    <col min="1" max="1" width="4.83203125" style="2"/>
    <col min="2" max="3" width="16.5" style="2" customWidth="1"/>
    <col min="4" max="4" width="6.1640625" style="2" customWidth="1"/>
    <col min="5" max="5" width="8" style="2" customWidth="1"/>
    <col min="6" max="6" width="10" style="2" customWidth="1"/>
    <col min="7" max="7" width="24.33203125" style="2" customWidth="1"/>
    <col min="8" max="8" width="5.33203125" style="2" customWidth="1"/>
    <col min="9" max="9" width="18.5" style="2" customWidth="1"/>
    <col min="10" max="10" width="11" style="2" customWidth="1"/>
    <col min="11" max="11" width="11" style="57" customWidth="1"/>
    <col min="12" max="12" width="10.1640625" style="57" customWidth="1"/>
    <col min="13" max="13" width="10.6640625" style="57" customWidth="1"/>
    <col min="14" max="14" width="12.1640625" style="57" customWidth="1"/>
    <col min="15" max="16" width="9.83203125" style="2" customWidth="1"/>
    <col min="17" max="17" width="24.33203125" style="2" customWidth="1"/>
    <col min="18" max="16384" width="4.83203125" style="2"/>
  </cols>
  <sheetData>
    <row r="1" spans="2:16" ht="22" customHeight="1" thickBot="1"/>
    <row r="2" spans="2:16" ht="22" customHeight="1" thickBot="1">
      <c r="B2" s="59"/>
      <c r="C2" s="60"/>
      <c r="D2" s="60">
        <f t="shared" ref="D2:O2" si="0">SUM(D4:D322)</f>
        <v>251</v>
      </c>
      <c r="E2" s="60">
        <f t="shared" si="0"/>
        <v>634</v>
      </c>
      <c r="F2" s="60"/>
      <c r="G2" s="60"/>
      <c r="H2" s="60">
        <f t="shared" si="0"/>
        <v>83</v>
      </c>
      <c r="I2" s="60"/>
      <c r="J2" s="60">
        <f t="shared" si="0"/>
        <v>208</v>
      </c>
      <c r="K2" s="61">
        <f t="shared" si="0"/>
        <v>7079337</v>
      </c>
      <c r="L2" s="61">
        <f t="shared" si="0"/>
        <v>808071</v>
      </c>
      <c r="M2" s="61">
        <f t="shared" si="0"/>
        <v>36967</v>
      </c>
      <c r="N2" s="61">
        <f t="shared" si="0"/>
        <v>6234299</v>
      </c>
      <c r="O2" s="61">
        <f t="shared" si="0"/>
        <v>0</v>
      </c>
      <c r="P2" s="62"/>
    </row>
    <row r="3" spans="2:16" s="1" customFormat="1" ht="30" customHeight="1">
      <c r="B3" s="27" t="s">
        <v>23</v>
      </c>
      <c r="C3" s="28" t="s">
        <v>24</v>
      </c>
      <c r="D3" s="28" t="s">
        <v>26</v>
      </c>
      <c r="E3" s="28" t="s">
        <v>463</v>
      </c>
      <c r="F3" s="28" t="s">
        <v>27</v>
      </c>
      <c r="G3" s="28" t="s">
        <v>28</v>
      </c>
      <c r="H3" s="28" t="s">
        <v>29</v>
      </c>
      <c r="I3" s="28" t="s">
        <v>30</v>
      </c>
      <c r="J3" s="28" t="s">
        <v>31</v>
      </c>
      <c r="K3" s="29" t="s">
        <v>32</v>
      </c>
      <c r="L3" s="29" t="s">
        <v>33</v>
      </c>
      <c r="M3" s="29" t="s">
        <v>34</v>
      </c>
      <c r="N3" s="29" t="s">
        <v>36</v>
      </c>
      <c r="O3" s="30" t="s">
        <v>37</v>
      </c>
      <c r="P3" s="31" t="s">
        <v>246</v>
      </c>
    </row>
    <row r="4" spans="2:16" ht="22" customHeight="1">
      <c r="B4" s="3">
        <v>45957</v>
      </c>
      <c r="C4" s="4">
        <v>45962</v>
      </c>
      <c r="D4" s="5">
        <v>5</v>
      </c>
      <c r="E4" s="5">
        <f>D4*J4</f>
        <v>5</v>
      </c>
      <c r="F4" s="5" t="s">
        <v>42</v>
      </c>
      <c r="G4" s="5" t="s">
        <v>49</v>
      </c>
      <c r="H4" s="5">
        <v>1</v>
      </c>
      <c r="I4" s="5" t="s">
        <v>163</v>
      </c>
      <c r="J4" s="5">
        <v>1</v>
      </c>
      <c r="K4" s="6">
        <v>72555</v>
      </c>
      <c r="L4" s="6">
        <v>0</v>
      </c>
      <c r="M4" s="6">
        <v>0</v>
      </c>
      <c r="N4" s="6">
        <f t="shared" ref="N4:N67" si="1">K4-L4-M4</f>
        <v>72555</v>
      </c>
      <c r="O4" s="5"/>
      <c r="P4" s="47" t="s">
        <v>46</v>
      </c>
    </row>
    <row r="5" spans="2:16" ht="22" customHeight="1">
      <c r="B5" s="3">
        <v>45961</v>
      </c>
      <c r="C5" s="4">
        <v>45963</v>
      </c>
      <c r="D5" s="5">
        <v>2</v>
      </c>
      <c r="E5" s="5">
        <f t="shared" ref="E5:E68" si="2">D5*J5</f>
        <v>4</v>
      </c>
      <c r="F5" s="5" t="s">
        <v>42</v>
      </c>
      <c r="G5" s="5" t="s">
        <v>71</v>
      </c>
      <c r="H5" s="5">
        <v>1</v>
      </c>
      <c r="I5" s="5" t="s">
        <v>164</v>
      </c>
      <c r="J5" s="5">
        <v>2</v>
      </c>
      <c r="K5" s="6">
        <v>89078</v>
      </c>
      <c r="L5" s="6">
        <v>0</v>
      </c>
      <c r="M5" s="6">
        <v>0</v>
      </c>
      <c r="N5" s="6">
        <f t="shared" si="1"/>
        <v>89078</v>
      </c>
      <c r="O5" s="5"/>
      <c r="P5" s="47" t="s">
        <v>46</v>
      </c>
    </row>
    <row r="6" spans="2:16" ht="22" customHeight="1">
      <c r="B6" s="3">
        <v>45959</v>
      </c>
      <c r="C6" s="4">
        <v>45963</v>
      </c>
      <c r="D6" s="5">
        <v>4</v>
      </c>
      <c r="E6" s="5">
        <f t="shared" si="2"/>
        <v>4</v>
      </c>
      <c r="F6" s="5" t="s">
        <v>42</v>
      </c>
      <c r="G6" s="5" t="s">
        <v>43</v>
      </c>
      <c r="H6" s="5">
        <v>1</v>
      </c>
      <c r="I6" s="5" t="s">
        <v>165</v>
      </c>
      <c r="J6" s="5">
        <v>1</v>
      </c>
      <c r="K6" s="6">
        <v>130922</v>
      </c>
      <c r="L6" s="6">
        <v>0</v>
      </c>
      <c r="M6" s="6">
        <v>0</v>
      </c>
      <c r="N6" s="6">
        <f t="shared" si="1"/>
        <v>130922</v>
      </c>
      <c r="O6" s="5"/>
      <c r="P6" s="47" t="s">
        <v>46</v>
      </c>
    </row>
    <row r="7" spans="2:16" ht="22" customHeight="1">
      <c r="B7" s="3">
        <v>45960</v>
      </c>
      <c r="C7" s="4">
        <v>45964</v>
      </c>
      <c r="D7" s="5">
        <v>4</v>
      </c>
      <c r="E7" s="5">
        <f t="shared" si="2"/>
        <v>8</v>
      </c>
      <c r="F7" s="5" t="s">
        <v>42</v>
      </c>
      <c r="G7" s="5" t="s">
        <v>49</v>
      </c>
      <c r="H7" s="5">
        <v>1</v>
      </c>
      <c r="I7" s="5" t="s">
        <v>166</v>
      </c>
      <c r="J7" s="5">
        <v>2</v>
      </c>
      <c r="K7" s="6">
        <v>83668</v>
      </c>
      <c r="L7" s="6">
        <v>0</v>
      </c>
      <c r="M7" s="6">
        <v>0</v>
      </c>
      <c r="N7" s="6">
        <f t="shared" si="1"/>
        <v>83668</v>
      </c>
      <c r="O7" s="5"/>
      <c r="P7" s="47" t="s">
        <v>46</v>
      </c>
    </row>
    <row r="8" spans="2:16" ht="22" customHeight="1">
      <c r="B8" s="3">
        <v>45964</v>
      </c>
      <c r="C8" s="4">
        <v>45967</v>
      </c>
      <c r="D8" s="5">
        <v>3</v>
      </c>
      <c r="E8" s="5">
        <f t="shared" si="2"/>
        <v>6</v>
      </c>
      <c r="F8" s="5" t="s">
        <v>42</v>
      </c>
      <c r="G8" s="5" t="s">
        <v>71</v>
      </c>
      <c r="H8" s="5">
        <v>1</v>
      </c>
      <c r="I8" s="5" t="s">
        <v>167</v>
      </c>
      <c r="J8" s="5">
        <v>2</v>
      </c>
      <c r="K8" s="6">
        <v>61986</v>
      </c>
      <c r="L8" s="6">
        <v>0</v>
      </c>
      <c r="M8" s="6">
        <v>0</v>
      </c>
      <c r="N8" s="6">
        <f t="shared" si="1"/>
        <v>61986</v>
      </c>
      <c r="O8" s="5"/>
      <c r="P8" s="47" t="s">
        <v>46</v>
      </c>
    </row>
    <row r="9" spans="2:16" ht="22" customHeight="1">
      <c r="B9" s="3">
        <v>45965</v>
      </c>
      <c r="C9" s="4">
        <v>45968</v>
      </c>
      <c r="D9" s="5">
        <v>3</v>
      </c>
      <c r="E9" s="5">
        <f t="shared" si="2"/>
        <v>9</v>
      </c>
      <c r="F9" s="5" t="s">
        <v>42</v>
      </c>
      <c r="G9" s="5" t="s">
        <v>49</v>
      </c>
      <c r="H9" s="5">
        <v>1</v>
      </c>
      <c r="I9" s="5" t="s">
        <v>168</v>
      </c>
      <c r="J9" s="5">
        <v>3</v>
      </c>
      <c r="K9" s="6">
        <v>60874</v>
      </c>
      <c r="L9" s="6">
        <v>0</v>
      </c>
      <c r="M9" s="6">
        <v>0</v>
      </c>
      <c r="N9" s="6">
        <f t="shared" si="1"/>
        <v>60874</v>
      </c>
      <c r="O9" s="5"/>
      <c r="P9" s="47" t="s">
        <v>46</v>
      </c>
    </row>
    <row r="10" spans="2:16" ht="22" customHeight="1">
      <c r="B10" s="3">
        <v>45967</v>
      </c>
      <c r="C10" s="4">
        <v>45970</v>
      </c>
      <c r="D10" s="5">
        <v>3</v>
      </c>
      <c r="E10" s="5">
        <f t="shared" si="2"/>
        <v>9</v>
      </c>
      <c r="F10" s="5" t="s">
        <v>42</v>
      </c>
      <c r="G10" s="5" t="s">
        <v>43</v>
      </c>
      <c r="H10" s="5">
        <v>1</v>
      </c>
      <c r="I10" s="5" t="s">
        <v>169</v>
      </c>
      <c r="J10" s="5">
        <v>3</v>
      </c>
      <c r="K10" s="6">
        <v>89115</v>
      </c>
      <c r="L10" s="6">
        <v>0</v>
      </c>
      <c r="M10" s="6">
        <v>0</v>
      </c>
      <c r="N10" s="6">
        <f t="shared" si="1"/>
        <v>89115</v>
      </c>
      <c r="O10" s="5"/>
      <c r="P10" s="47" t="s">
        <v>46</v>
      </c>
    </row>
    <row r="11" spans="2:16" ht="22" customHeight="1">
      <c r="B11" s="3">
        <v>45975</v>
      </c>
      <c r="C11" s="4">
        <v>45977</v>
      </c>
      <c r="D11" s="5">
        <v>2</v>
      </c>
      <c r="E11" s="5">
        <f t="shared" si="2"/>
        <v>6</v>
      </c>
      <c r="F11" s="5" t="s">
        <v>42</v>
      </c>
      <c r="G11" s="5" t="s">
        <v>71</v>
      </c>
      <c r="H11" s="5">
        <v>1</v>
      </c>
      <c r="I11" s="5" t="s">
        <v>170</v>
      </c>
      <c r="J11" s="5">
        <v>3</v>
      </c>
      <c r="K11" s="6">
        <v>49384</v>
      </c>
      <c r="L11" s="6">
        <v>0</v>
      </c>
      <c r="M11" s="6">
        <v>0</v>
      </c>
      <c r="N11" s="6">
        <f t="shared" si="1"/>
        <v>49384</v>
      </c>
      <c r="O11" s="5"/>
      <c r="P11" s="47" t="s">
        <v>46</v>
      </c>
    </row>
    <row r="12" spans="2:16" ht="22" customHeight="1">
      <c r="B12" s="356">
        <v>45978</v>
      </c>
      <c r="C12" s="357">
        <v>45980</v>
      </c>
      <c r="D12" s="358">
        <v>2</v>
      </c>
      <c r="E12" s="358">
        <f t="shared" si="2"/>
        <v>4</v>
      </c>
      <c r="F12" s="358" t="s">
        <v>42</v>
      </c>
      <c r="G12" s="358" t="s">
        <v>54</v>
      </c>
      <c r="H12" s="358">
        <v>1</v>
      </c>
      <c r="I12" s="358" t="s">
        <v>171</v>
      </c>
      <c r="J12" s="358">
        <v>2</v>
      </c>
      <c r="K12" s="359">
        <v>37488</v>
      </c>
      <c r="L12" s="359">
        <v>0</v>
      </c>
      <c r="M12" s="359">
        <v>0</v>
      </c>
      <c r="N12" s="359">
        <f t="shared" si="1"/>
        <v>37488</v>
      </c>
      <c r="O12" s="358"/>
      <c r="P12" s="360" t="s">
        <v>46</v>
      </c>
    </row>
    <row r="13" spans="2:16" ht="22" customHeight="1">
      <c r="B13" s="3">
        <v>45978</v>
      </c>
      <c r="C13" s="4">
        <v>45980</v>
      </c>
      <c r="D13" s="5">
        <v>2</v>
      </c>
      <c r="E13" s="5">
        <f t="shared" si="2"/>
        <v>4</v>
      </c>
      <c r="F13" s="5" t="s">
        <v>42</v>
      </c>
      <c r="G13" s="5" t="s">
        <v>49</v>
      </c>
      <c r="H13" s="5">
        <v>1</v>
      </c>
      <c r="I13" s="5" t="s">
        <v>172</v>
      </c>
      <c r="J13" s="5">
        <v>2</v>
      </c>
      <c r="K13" s="6">
        <v>44036</v>
      </c>
      <c r="L13" s="6">
        <v>0</v>
      </c>
      <c r="M13" s="6">
        <v>0</v>
      </c>
      <c r="N13" s="6">
        <f t="shared" si="1"/>
        <v>44036</v>
      </c>
      <c r="O13" s="5"/>
      <c r="P13" s="47" t="s">
        <v>46</v>
      </c>
    </row>
    <row r="14" spans="2:16" ht="22" customHeight="1">
      <c r="B14" s="3">
        <v>45974</v>
      </c>
      <c r="C14" s="4">
        <v>45981</v>
      </c>
      <c r="D14" s="5">
        <v>7</v>
      </c>
      <c r="E14" s="5">
        <f t="shared" si="2"/>
        <v>14</v>
      </c>
      <c r="F14" s="5" t="s">
        <v>42</v>
      </c>
      <c r="G14" s="5" t="s">
        <v>49</v>
      </c>
      <c r="H14" s="5">
        <v>1</v>
      </c>
      <c r="I14" s="5" t="s">
        <v>173</v>
      </c>
      <c r="J14" s="5">
        <v>2</v>
      </c>
      <c r="K14" s="6">
        <v>183866</v>
      </c>
      <c r="L14" s="6">
        <v>0</v>
      </c>
      <c r="M14" s="6">
        <v>0</v>
      </c>
      <c r="N14" s="6">
        <f t="shared" si="1"/>
        <v>183866</v>
      </c>
      <c r="O14" s="5"/>
      <c r="P14" s="47" t="s">
        <v>46</v>
      </c>
    </row>
    <row r="15" spans="2:16" ht="22" customHeight="1">
      <c r="B15" s="3">
        <v>45982</v>
      </c>
      <c r="C15" s="4">
        <v>45984</v>
      </c>
      <c r="D15" s="5">
        <v>2</v>
      </c>
      <c r="E15" s="5">
        <f t="shared" si="2"/>
        <v>4</v>
      </c>
      <c r="F15" s="5" t="s">
        <v>42</v>
      </c>
      <c r="G15" s="5" t="s">
        <v>49</v>
      </c>
      <c r="H15" s="5">
        <v>1</v>
      </c>
      <c r="I15" s="5" t="s">
        <v>174</v>
      </c>
      <c r="J15" s="5">
        <v>2</v>
      </c>
      <c r="K15" s="6">
        <v>44422</v>
      </c>
      <c r="L15" s="6">
        <v>0</v>
      </c>
      <c r="M15" s="6">
        <v>0</v>
      </c>
      <c r="N15" s="6">
        <f t="shared" si="1"/>
        <v>44422</v>
      </c>
      <c r="O15" s="5"/>
      <c r="P15" s="47" t="s">
        <v>46</v>
      </c>
    </row>
    <row r="16" spans="2:16" ht="22" customHeight="1">
      <c r="B16" s="356">
        <v>45982</v>
      </c>
      <c r="C16" s="357">
        <v>45985</v>
      </c>
      <c r="D16" s="358">
        <v>3</v>
      </c>
      <c r="E16" s="358">
        <f t="shared" si="2"/>
        <v>6</v>
      </c>
      <c r="F16" s="358" t="s">
        <v>42</v>
      </c>
      <c r="G16" s="358" t="s">
        <v>54</v>
      </c>
      <c r="H16" s="358">
        <v>1</v>
      </c>
      <c r="I16" s="358" t="s">
        <v>175</v>
      </c>
      <c r="J16" s="358">
        <v>2</v>
      </c>
      <c r="K16" s="359">
        <v>88572</v>
      </c>
      <c r="L16" s="359">
        <v>0</v>
      </c>
      <c r="M16" s="359">
        <v>0</v>
      </c>
      <c r="N16" s="359">
        <f t="shared" si="1"/>
        <v>88572</v>
      </c>
      <c r="O16" s="358"/>
      <c r="P16" s="360" t="s">
        <v>46</v>
      </c>
    </row>
    <row r="17" spans="2:16" ht="22" customHeight="1">
      <c r="B17" s="3">
        <v>45981</v>
      </c>
      <c r="C17" s="4">
        <v>45986</v>
      </c>
      <c r="D17" s="5">
        <v>5</v>
      </c>
      <c r="E17" s="5">
        <f t="shared" si="2"/>
        <v>10</v>
      </c>
      <c r="F17" s="5" t="s">
        <v>42</v>
      </c>
      <c r="G17" s="5" t="s">
        <v>49</v>
      </c>
      <c r="H17" s="5">
        <v>1</v>
      </c>
      <c r="I17" s="5" t="s">
        <v>176</v>
      </c>
      <c r="J17" s="5">
        <v>2</v>
      </c>
      <c r="K17" s="6">
        <v>110090</v>
      </c>
      <c r="L17" s="6">
        <v>0</v>
      </c>
      <c r="M17" s="6">
        <v>0</v>
      </c>
      <c r="N17" s="6">
        <f t="shared" si="1"/>
        <v>110090</v>
      </c>
      <c r="O17" s="5"/>
      <c r="P17" s="47" t="s">
        <v>46</v>
      </c>
    </row>
    <row r="18" spans="2:16" ht="22" customHeight="1">
      <c r="B18" s="356">
        <v>45986</v>
      </c>
      <c r="C18" s="357">
        <v>45988</v>
      </c>
      <c r="D18" s="358">
        <v>2</v>
      </c>
      <c r="E18" s="358">
        <f t="shared" si="2"/>
        <v>4</v>
      </c>
      <c r="F18" s="358" t="s">
        <v>42</v>
      </c>
      <c r="G18" s="358" t="s">
        <v>54</v>
      </c>
      <c r="H18" s="358">
        <v>1</v>
      </c>
      <c r="I18" s="358" t="s">
        <v>177</v>
      </c>
      <c r="J18" s="358">
        <v>2</v>
      </c>
      <c r="K18" s="359">
        <v>42856</v>
      </c>
      <c r="L18" s="359">
        <v>0</v>
      </c>
      <c r="M18" s="359">
        <v>0</v>
      </c>
      <c r="N18" s="359">
        <f t="shared" si="1"/>
        <v>42856</v>
      </c>
      <c r="O18" s="358"/>
      <c r="P18" s="360" t="s">
        <v>46</v>
      </c>
    </row>
    <row r="19" spans="2:16" ht="22" customHeight="1">
      <c r="B19" s="3">
        <v>45986</v>
      </c>
      <c r="C19" s="4">
        <v>45989</v>
      </c>
      <c r="D19" s="5">
        <v>3</v>
      </c>
      <c r="E19" s="5">
        <f t="shared" si="2"/>
        <v>6</v>
      </c>
      <c r="F19" s="5" t="s">
        <v>42</v>
      </c>
      <c r="G19" s="5" t="s">
        <v>49</v>
      </c>
      <c r="H19" s="5">
        <v>1</v>
      </c>
      <c r="I19" s="5" t="s">
        <v>178</v>
      </c>
      <c r="J19" s="5">
        <v>2</v>
      </c>
      <c r="K19" s="6">
        <v>51761</v>
      </c>
      <c r="L19" s="6">
        <v>0</v>
      </c>
      <c r="M19" s="6">
        <v>0</v>
      </c>
      <c r="N19" s="6">
        <f t="shared" si="1"/>
        <v>51761</v>
      </c>
      <c r="O19" s="5"/>
      <c r="P19" s="47" t="s">
        <v>46</v>
      </c>
    </row>
    <row r="20" spans="2:16" ht="22" customHeight="1">
      <c r="B20" s="3">
        <v>45989</v>
      </c>
      <c r="C20" s="4">
        <v>45991</v>
      </c>
      <c r="D20" s="5">
        <v>2</v>
      </c>
      <c r="E20" s="5">
        <f t="shared" si="2"/>
        <v>10</v>
      </c>
      <c r="F20" s="5" t="s">
        <v>42</v>
      </c>
      <c r="G20" s="5" t="s">
        <v>43</v>
      </c>
      <c r="H20" s="5">
        <v>1</v>
      </c>
      <c r="I20" s="5" t="s">
        <v>179</v>
      </c>
      <c r="J20" s="5">
        <v>5</v>
      </c>
      <c r="K20" s="6">
        <v>76296</v>
      </c>
      <c r="L20" s="6">
        <v>0</v>
      </c>
      <c r="M20" s="6">
        <v>0</v>
      </c>
      <c r="N20" s="6">
        <f t="shared" si="1"/>
        <v>76296</v>
      </c>
      <c r="O20" s="5"/>
      <c r="P20" s="47" t="s">
        <v>46</v>
      </c>
    </row>
    <row r="21" spans="2:16" ht="22" customHeight="1">
      <c r="B21" s="3">
        <v>45989</v>
      </c>
      <c r="C21" s="4">
        <v>45991</v>
      </c>
      <c r="D21" s="5">
        <v>2</v>
      </c>
      <c r="E21" s="5">
        <f t="shared" si="2"/>
        <v>6</v>
      </c>
      <c r="F21" s="5" t="s">
        <v>42</v>
      </c>
      <c r="G21" s="5" t="s">
        <v>71</v>
      </c>
      <c r="H21" s="5">
        <v>1</v>
      </c>
      <c r="I21" s="5" t="s">
        <v>180</v>
      </c>
      <c r="J21" s="5">
        <v>3</v>
      </c>
      <c r="K21" s="6">
        <v>69310</v>
      </c>
      <c r="L21" s="6">
        <v>0</v>
      </c>
      <c r="M21" s="6">
        <v>0</v>
      </c>
      <c r="N21" s="6">
        <f t="shared" si="1"/>
        <v>69310</v>
      </c>
      <c r="O21" s="5"/>
      <c r="P21" s="47" t="s">
        <v>46</v>
      </c>
    </row>
    <row r="22" spans="2:16" ht="22" customHeight="1">
      <c r="B22" s="3">
        <v>45985</v>
      </c>
      <c r="C22" s="4">
        <v>45989</v>
      </c>
      <c r="D22" s="5">
        <v>4</v>
      </c>
      <c r="E22" s="5">
        <f t="shared" si="2"/>
        <v>12</v>
      </c>
      <c r="F22" s="5" t="s">
        <v>96</v>
      </c>
      <c r="G22" s="5" t="s">
        <v>71</v>
      </c>
      <c r="H22" s="5">
        <v>1</v>
      </c>
      <c r="I22" s="5" t="s">
        <v>181</v>
      </c>
      <c r="J22" s="5">
        <v>3</v>
      </c>
      <c r="K22" s="6">
        <v>63280</v>
      </c>
      <c r="L22" s="6">
        <v>9808</v>
      </c>
      <c r="M22" s="6">
        <v>0</v>
      </c>
      <c r="N22" s="6">
        <f t="shared" si="1"/>
        <v>53472</v>
      </c>
      <c r="O22" s="5"/>
      <c r="P22" s="47" t="s">
        <v>46</v>
      </c>
    </row>
    <row r="23" spans="2:16" ht="22" customHeight="1">
      <c r="B23" s="356">
        <v>45981</v>
      </c>
      <c r="C23" s="357">
        <v>45985</v>
      </c>
      <c r="D23" s="358">
        <v>4</v>
      </c>
      <c r="E23" s="358">
        <f t="shared" si="2"/>
        <v>12</v>
      </c>
      <c r="F23" s="358" t="s">
        <v>96</v>
      </c>
      <c r="G23" s="358" t="s">
        <v>54</v>
      </c>
      <c r="H23" s="358">
        <v>1</v>
      </c>
      <c r="I23" s="358" t="s">
        <v>182</v>
      </c>
      <c r="J23" s="358">
        <v>3</v>
      </c>
      <c r="K23" s="359">
        <v>155150</v>
      </c>
      <c r="L23" s="359">
        <v>23273</v>
      </c>
      <c r="M23" s="359">
        <v>0</v>
      </c>
      <c r="N23" s="359">
        <f t="shared" si="1"/>
        <v>131877</v>
      </c>
      <c r="O23" s="358"/>
      <c r="P23" s="360" t="s">
        <v>46</v>
      </c>
    </row>
    <row r="24" spans="2:16" ht="22" customHeight="1">
      <c r="B24" s="3">
        <v>45977</v>
      </c>
      <c r="C24" s="4">
        <v>45983</v>
      </c>
      <c r="D24" s="5">
        <v>6</v>
      </c>
      <c r="E24" s="5">
        <f t="shared" si="2"/>
        <v>24</v>
      </c>
      <c r="F24" s="5" t="s">
        <v>96</v>
      </c>
      <c r="G24" s="5" t="s">
        <v>43</v>
      </c>
      <c r="H24" s="5">
        <v>1</v>
      </c>
      <c r="I24" s="5" t="s">
        <v>183</v>
      </c>
      <c r="J24" s="5">
        <v>4</v>
      </c>
      <c r="K24" s="6">
        <v>240560</v>
      </c>
      <c r="L24" s="6">
        <v>36084</v>
      </c>
      <c r="M24" s="6">
        <v>0</v>
      </c>
      <c r="N24" s="6">
        <f t="shared" si="1"/>
        <v>204476</v>
      </c>
      <c r="O24" s="5"/>
      <c r="P24" s="47" t="s">
        <v>46</v>
      </c>
    </row>
    <row r="25" spans="2:16" ht="22" customHeight="1">
      <c r="B25" s="3">
        <v>45979</v>
      </c>
      <c r="C25" s="4">
        <v>45982</v>
      </c>
      <c r="D25" s="5">
        <v>3</v>
      </c>
      <c r="E25" s="5">
        <f t="shared" si="2"/>
        <v>6</v>
      </c>
      <c r="F25" s="5" t="s">
        <v>96</v>
      </c>
      <c r="G25" s="5" t="s">
        <v>71</v>
      </c>
      <c r="H25" s="5">
        <v>1</v>
      </c>
      <c r="I25" s="5" t="s">
        <v>184</v>
      </c>
      <c r="J25" s="5">
        <v>2</v>
      </c>
      <c r="K25" s="6">
        <v>81180</v>
      </c>
      <c r="L25" s="6">
        <v>12177</v>
      </c>
      <c r="M25" s="6">
        <v>0</v>
      </c>
      <c r="N25" s="6">
        <f t="shared" si="1"/>
        <v>69003</v>
      </c>
      <c r="O25" s="5"/>
      <c r="P25" s="47" t="s">
        <v>46</v>
      </c>
    </row>
    <row r="26" spans="2:16" ht="22" customHeight="1">
      <c r="B26" s="3">
        <v>45977</v>
      </c>
      <c r="C26" s="4">
        <v>45982</v>
      </c>
      <c r="D26" s="5">
        <v>5</v>
      </c>
      <c r="E26" s="5">
        <f t="shared" si="2"/>
        <v>20</v>
      </c>
      <c r="F26" s="5" t="s">
        <v>96</v>
      </c>
      <c r="G26" s="5" t="s">
        <v>71</v>
      </c>
      <c r="H26" s="5">
        <v>1</v>
      </c>
      <c r="I26" s="5" t="s">
        <v>185</v>
      </c>
      <c r="J26" s="5">
        <v>4</v>
      </c>
      <c r="K26" s="6">
        <v>152780</v>
      </c>
      <c r="L26" s="6">
        <v>22917</v>
      </c>
      <c r="M26" s="6">
        <v>0</v>
      </c>
      <c r="N26" s="6">
        <f t="shared" si="1"/>
        <v>129863</v>
      </c>
      <c r="O26" s="5"/>
      <c r="P26" s="47" t="s">
        <v>46</v>
      </c>
    </row>
    <row r="27" spans="2:16" ht="22" customHeight="1">
      <c r="B27" s="3">
        <v>45977</v>
      </c>
      <c r="C27" s="4">
        <v>45980</v>
      </c>
      <c r="D27" s="5">
        <v>3</v>
      </c>
      <c r="E27" s="5">
        <f t="shared" si="2"/>
        <v>6</v>
      </c>
      <c r="F27" s="5" t="s">
        <v>96</v>
      </c>
      <c r="G27" s="5" t="s">
        <v>49</v>
      </c>
      <c r="H27" s="5">
        <v>1</v>
      </c>
      <c r="I27" s="5" t="s">
        <v>186</v>
      </c>
      <c r="J27" s="5">
        <v>2</v>
      </c>
      <c r="K27" s="6">
        <v>69940</v>
      </c>
      <c r="L27" s="6">
        <v>10491</v>
      </c>
      <c r="M27" s="6">
        <v>0</v>
      </c>
      <c r="N27" s="6">
        <f t="shared" si="1"/>
        <v>59449</v>
      </c>
      <c r="O27" s="5"/>
      <c r="P27" s="47" t="s">
        <v>46</v>
      </c>
    </row>
    <row r="28" spans="2:16" ht="22" customHeight="1">
      <c r="B28" s="3">
        <v>45977</v>
      </c>
      <c r="C28" s="4">
        <v>45979</v>
      </c>
      <c r="D28" s="5">
        <v>2</v>
      </c>
      <c r="E28" s="5">
        <f t="shared" si="2"/>
        <v>8</v>
      </c>
      <c r="F28" s="5" t="s">
        <v>96</v>
      </c>
      <c r="G28" s="5" t="s">
        <v>71</v>
      </c>
      <c r="H28" s="5">
        <v>1</v>
      </c>
      <c r="I28" s="5" t="s">
        <v>187</v>
      </c>
      <c r="J28" s="5">
        <v>4</v>
      </c>
      <c r="K28" s="6">
        <v>46640</v>
      </c>
      <c r="L28" s="6">
        <v>7229</v>
      </c>
      <c r="M28" s="6">
        <v>0</v>
      </c>
      <c r="N28" s="6">
        <f t="shared" si="1"/>
        <v>39411</v>
      </c>
      <c r="O28" s="5"/>
      <c r="P28" s="47" t="s">
        <v>46</v>
      </c>
    </row>
    <row r="29" spans="2:16" ht="22" customHeight="1">
      <c r="B29" s="3">
        <v>45975</v>
      </c>
      <c r="C29" s="4">
        <v>45977</v>
      </c>
      <c r="D29" s="5">
        <v>2</v>
      </c>
      <c r="E29" s="5">
        <f t="shared" si="2"/>
        <v>6</v>
      </c>
      <c r="F29" s="5" t="s">
        <v>96</v>
      </c>
      <c r="G29" s="5" t="s">
        <v>71</v>
      </c>
      <c r="H29" s="5">
        <v>1</v>
      </c>
      <c r="I29" s="5" t="s">
        <v>188</v>
      </c>
      <c r="J29" s="5">
        <v>3</v>
      </c>
      <c r="K29" s="6">
        <v>56120</v>
      </c>
      <c r="L29" s="6">
        <v>8699</v>
      </c>
      <c r="M29" s="6">
        <v>0</v>
      </c>
      <c r="N29" s="6">
        <f t="shared" si="1"/>
        <v>47421</v>
      </c>
      <c r="O29" s="5"/>
      <c r="P29" s="47" t="s">
        <v>46</v>
      </c>
    </row>
    <row r="30" spans="2:16" ht="22" customHeight="1">
      <c r="B30" s="3">
        <v>45972</v>
      </c>
      <c r="C30" s="4">
        <v>45975</v>
      </c>
      <c r="D30" s="5">
        <v>3</v>
      </c>
      <c r="E30" s="5">
        <f t="shared" si="2"/>
        <v>12</v>
      </c>
      <c r="F30" s="5" t="s">
        <v>96</v>
      </c>
      <c r="G30" s="5" t="s">
        <v>43</v>
      </c>
      <c r="H30" s="5">
        <v>1</v>
      </c>
      <c r="I30" s="5" t="s">
        <v>189</v>
      </c>
      <c r="J30" s="5">
        <v>4</v>
      </c>
      <c r="K30" s="6">
        <v>93840</v>
      </c>
      <c r="L30" s="6">
        <v>14076</v>
      </c>
      <c r="M30" s="6">
        <v>0</v>
      </c>
      <c r="N30" s="6">
        <f t="shared" si="1"/>
        <v>79764</v>
      </c>
      <c r="O30" s="5"/>
      <c r="P30" s="47" t="s">
        <v>46</v>
      </c>
    </row>
    <row r="31" spans="2:16" ht="22" customHeight="1">
      <c r="B31" s="3">
        <v>45970</v>
      </c>
      <c r="C31" s="4">
        <v>45971</v>
      </c>
      <c r="D31" s="5">
        <v>1</v>
      </c>
      <c r="E31" s="5">
        <f t="shared" si="2"/>
        <v>1</v>
      </c>
      <c r="F31" s="5" t="s">
        <v>96</v>
      </c>
      <c r="G31" s="5" t="s">
        <v>49</v>
      </c>
      <c r="H31" s="5">
        <v>1</v>
      </c>
      <c r="I31" s="5" t="s">
        <v>190</v>
      </c>
      <c r="J31" s="5">
        <v>1</v>
      </c>
      <c r="K31" s="6">
        <v>17120</v>
      </c>
      <c r="L31" s="6">
        <v>2654</v>
      </c>
      <c r="M31" s="6">
        <v>0</v>
      </c>
      <c r="N31" s="6">
        <f t="shared" si="1"/>
        <v>14466</v>
      </c>
      <c r="O31" s="5"/>
      <c r="P31" s="47" t="s">
        <v>46</v>
      </c>
    </row>
    <row r="32" spans="2:16" ht="22" customHeight="1">
      <c r="B32" s="3">
        <v>45967</v>
      </c>
      <c r="C32" s="4">
        <v>45970</v>
      </c>
      <c r="D32" s="5">
        <v>3</v>
      </c>
      <c r="E32" s="5">
        <f t="shared" si="2"/>
        <v>9</v>
      </c>
      <c r="F32" s="5" t="s">
        <v>96</v>
      </c>
      <c r="G32" s="5" t="s">
        <v>71</v>
      </c>
      <c r="H32" s="5">
        <v>1</v>
      </c>
      <c r="I32" s="5" t="s">
        <v>191</v>
      </c>
      <c r="J32" s="5">
        <v>3</v>
      </c>
      <c r="K32" s="6">
        <v>120560</v>
      </c>
      <c r="L32" s="6">
        <v>18084</v>
      </c>
      <c r="M32" s="6">
        <v>0</v>
      </c>
      <c r="N32" s="6">
        <f t="shared" si="1"/>
        <v>102476</v>
      </c>
      <c r="O32" s="5"/>
      <c r="P32" s="47" t="s">
        <v>46</v>
      </c>
    </row>
    <row r="33" spans="2:16" ht="22" customHeight="1">
      <c r="B33" s="3">
        <v>45964</v>
      </c>
      <c r="C33" s="4">
        <v>45967</v>
      </c>
      <c r="D33" s="5">
        <v>3</v>
      </c>
      <c r="E33" s="5">
        <f t="shared" si="2"/>
        <v>9</v>
      </c>
      <c r="F33" s="5" t="s">
        <v>96</v>
      </c>
      <c r="G33" s="5" t="s">
        <v>43</v>
      </c>
      <c r="H33" s="5">
        <v>1</v>
      </c>
      <c r="I33" s="5" t="s">
        <v>192</v>
      </c>
      <c r="J33" s="5">
        <v>3</v>
      </c>
      <c r="K33" s="6">
        <v>75840</v>
      </c>
      <c r="L33" s="6">
        <v>11376</v>
      </c>
      <c r="M33" s="6">
        <v>0</v>
      </c>
      <c r="N33" s="6">
        <f t="shared" si="1"/>
        <v>64464</v>
      </c>
      <c r="O33" s="5"/>
      <c r="P33" s="47" t="s">
        <v>46</v>
      </c>
    </row>
    <row r="34" spans="2:16" ht="22" customHeight="1">
      <c r="B34" s="3">
        <v>45962</v>
      </c>
      <c r="C34" s="4">
        <v>45967</v>
      </c>
      <c r="D34" s="5">
        <v>5</v>
      </c>
      <c r="E34" s="5">
        <f t="shared" si="2"/>
        <v>10</v>
      </c>
      <c r="F34" s="5" t="s">
        <v>96</v>
      </c>
      <c r="G34" s="5" t="s">
        <v>71</v>
      </c>
      <c r="H34" s="5">
        <v>1</v>
      </c>
      <c r="I34" s="5" t="s">
        <v>193</v>
      </c>
      <c r="J34" s="5">
        <v>2</v>
      </c>
      <c r="K34" s="6">
        <v>186160</v>
      </c>
      <c r="L34" s="6">
        <v>27924</v>
      </c>
      <c r="M34" s="6">
        <v>0</v>
      </c>
      <c r="N34" s="6">
        <f t="shared" si="1"/>
        <v>158236</v>
      </c>
      <c r="O34" s="5"/>
      <c r="P34" s="47" t="s">
        <v>46</v>
      </c>
    </row>
    <row r="35" spans="2:16" ht="22" customHeight="1">
      <c r="B35" s="356">
        <v>45956</v>
      </c>
      <c r="C35" s="357">
        <v>45964</v>
      </c>
      <c r="D35" s="358">
        <v>8</v>
      </c>
      <c r="E35" s="358">
        <f t="shared" si="2"/>
        <v>16</v>
      </c>
      <c r="F35" s="358" t="s">
        <v>96</v>
      </c>
      <c r="G35" s="358" t="s">
        <v>54</v>
      </c>
      <c r="H35" s="358">
        <v>1</v>
      </c>
      <c r="I35" s="358" t="s">
        <v>194</v>
      </c>
      <c r="J35" s="358">
        <v>2</v>
      </c>
      <c r="K35" s="359">
        <v>140200</v>
      </c>
      <c r="L35" s="359">
        <v>21030</v>
      </c>
      <c r="M35" s="359">
        <v>0</v>
      </c>
      <c r="N35" s="359">
        <f t="shared" si="1"/>
        <v>119170</v>
      </c>
      <c r="O35" s="358"/>
      <c r="P35" s="360" t="s">
        <v>46</v>
      </c>
    </row>
    <row r="36" spans="2:16" ht="22" customHeight="1">
      <c r="B36" s="3">
        <v>45959</v>
      </c>
      <c r="C36" s="4">
        <v>45962</v>
      </c>
      <c r="D36" s="5">
        <v>3</v>
      </c>
      <c r="E36" s="5">
        <f t="shared" si="2"/>
        <v>12</v>
      </c>
      <c r="F36" s="5" t="s">
        <v>96</v>
      </c>
      <c r="G36" s="5" t="s">
        <v>71</v>
      </c>
      <c r="H36" s="5">
        <v>1</v>
      </c>
      <c r="I36" s="5" t="s">
        <v>195</v>
      </c>
      <c r="J36" s="5">
        <v>4</v>
      </c>
      <c r="K36" s="6">
        <v>109920</v>
      </c>
      <c r="L36" s="6">
        <v>16488</v>
      </c>
      <c r="M36" s="6">
        <v>0</v>
      </c>
      <c r="N36" s="6">
        <f t="shared" si="1"/>
        <v>93432</v>
      </c>
      <c r="O36" s="5"/>
      <c r="P36" s="47" t="s">
        <v>46</v>
      </c>
    </row>
    <row r="37" spans="2:16" ht="22" customHeight="1">
      <c r="B37" s="3">
        <v>45961</v>
      </c>
      <c r="C37" s="4">
        <v>45963</v>
      </c>
      <c r="D37" s="5">
        <v>2</v>
      </c>
      <c r="E37" s="5">
        <f t="shared" si="2"/>
        <v>4</v>
      </c>
      <c r="F37" s="5" t="s">
        <v>119</v>
      </c>
      <c r="G37" s="5" t="s">
        <v>49</v>
      </c>
      <c r="H37" s="5">
        <v>1</v>
      </c>
      <c r="I37" s="5" t="s">
        <v>196</v>
      </c>
      <c r="J37" s="5">
        <v>2</v>
      </c>
      <c r="K37" s="6">
        <v>67160</v>
      </c>
      <c r="L37" s="6">
        <v>8059</v>
      </c>
      <c r="M37" s="6">
        <v>1545</v>
      </c>
      <c r="N37" s="6">
        <f t="shared" si="1"/>
        <v>57556</v>
      </c>
      <c r="O37" s="5"/>
      <c r="P37" s="47" t="s">
        <v>46</v>
      </c>
    </row>
    <row r="38" spans="2:16" ht="22" customHeight="1">
      <c r="B38" s="3">
        <v>45963</v>
      </c>
      <c r="C38" s="4">
        <v>45964</v>
      </c>
      <c r="D38" s="5">
        <v>1</v>
      </c>
      <c r="E38" s="5">
        <f t="shared" si="2"/>
        <v>3</v>
      </c>
      <c r="F38" s="5" t="s">
        <v>119</v>
      </c>
      <c r="G38" s="5" t="s">
        <v>71</v>
      </c>
      <c r="H38" s="5">
        <v>1</v>
      </c>
      <c r="I38" s="5" t="s">
        <v>197</v>
      </c>
      <c r="J38" s="5">
        <v>3</v>
      </c>
      <c r="K38" s="6">
        <v>20322</v>
      </c>
      <c r="L38" s="6">
        <v>2439</v>
      </c>
      <c r="M38" s="6">
        <v>467</v>
      </c>
      <c r="N38" s="6">
        <f t="shared" si="1"/>
        <v>17416</v>
      </c>
      <c r="O38" s="5"/>
      <c r="P38" s="47" t="s">
        <v>46</v>
      </c>
    </row>
    <row r="39" spans="2:16" ht="22" customHeight="1">
      <c r="B39" s="3">
        <v>45963</v>
      </c>
      <c r="C39" s="4">
        <v>45964</v>
      </c>
      <c r="D39" s="5">
        <v>1</v>
      </c>
      <c r="E39" s="5">
        <f t="shared" si="2"/>
        <v>3</v>
      </c>
      <c r="F39" s="5" t="s">
        <v>119</v>
      </c>
      <c r="G39" s="5" t="s">
        <v>43</v>
      </c>
      <c r="H39" s="5">
        <v>1</v>
      </c>
      <c r="I39" s="5" t="s">
        <v>198</v>
      </c>
      <c r="J39" s="5">
        <v>3</v>
      </c>
      <c r="K39" s="6">
        <v>29280</v>
      </c>
      <c r="L39" s="6">
        <v>3514</v>
      </c>
      <c r="M39" s="6">
        <v>673</v>
      </c>
      <c r="N39" s="6">
        <f t="shared" si="1"/>
        <v>25093</v>
      </c>
      <c r="O39" s="5"/>
      <c r="P39" s="47" t="s">
        <v>46</v>
      </c>
    </row>
    <row r="40" spans="2:16" ht="22" customHeight="1">
      <c r="B40" s="3">
        <v>45967</v>
      </c>
      <c r="C40" s="4">
        <v>45969</v>
      </c>
      <c r="D40" s="5">
        <v>2</v>
      </c>
      <c r="E40" s="5">
        <f t="shared" si="2"/>
        <v>6</v>
      </c>
      <c r="F40" s="5" t="s">
        <v>119</v>
      </c>
      <c r="G40" s="5" t="s">
        <v>56</v>
      </c>
      <c r="H40" s="5">
        <v>1</v>
      </c>
      <c r="I40" s="5" t="s">
        <v>199</v>
      </c>
      <c r="J40" s="5">
        <v>3</v>
      </c>
      <c r="K40" s="6">
        <v>56000</v>
      </c>
      <c r="L40" s="6">
        <v>6720</v>
      </c>
      <c r="M40" s="6">
        <v>1288</v>
      </c>
      <c r="N40" s="6">
        <f t="shared" si="1"/>
        <v>47992</v>
      </c>
      <c r="O40" s="5"/>
      <c r="P40" s="47" t="s">
        <v>46</v>
      </c>
    </row>
    <row r="41" spans="2:16" ht="22" customHeight="1">
      <c r="B41" s="3">
        <v>45963</v>
      </c>
      <c r="C41" s="4">
        <v>45969</v>
      </c>
      <c r="D41" s="5">
        <v>6</v>
      </c>
      <c r="E41" s="5">
        <f t="shared" si="2"/>
        <v>12</v>
      </c>
      <c r="F41" s="5" t="s">
        <v>119</v>
      </c>
      <c r="G41" s="5" t="s">
        <v>49</v>
      </c>
      <c r="H41" s="5">
        <v>1</v>
      </c>
      <c r="I41" s="5" t="s">
        <v>200</v>
      </c>
      <c r="J41" s="5">
        <v>2</v>
      </c>
      <c r="K41" s="6">
        <v>116760</v>
      </c>
      <c r="L41" s="6">
        <v>14011</v>
      </c>
      <c r="M41" s="6">
        <v>2685</v>
      </c>
      <c r="N41" s="6">
        <f t="shared" si="1"/>
        <v>100064</v>
      </c>
      <c r="O41" s="5"/>
      <c r="P41" s="47" t="s">
        <v>46</v>
      </c>
    </row>
    <row r="42" spans="2:16" ht="22" customHeight="1">
      <c r="B42" s="3">
        <v>45968</v>
      </c>
      <c r="C42" s="4">
        <v>45970</v>
      </c>
      <c r="D42" s="5">
        <v>2</v>
      </c>
      <c r="E42" s="5">
        <f t="shared" si="2"/>
        <v>4</v>
      </c>
      <c r="F42" s="5" t="s">
        <v>119</v>
      </c>
      <c r="G42" s="5" t="s">
        <v>49</v>
      </c>
      <c r="H42" s="5">
        <v>1</v>
      </c>
      <c r="I42" s="5" t="s">
        <v>201</v>
      </c>
      <c r="J42" s="5">
        <v>2</v>
      </c>
      <c r="K42" s="6">
        <v>61160</v>
      </c>
      <c r="L42" s="6">
        <v>7339</v>
      </c>
      <c r="M42" s="6">
        <v>1407</v>
      </c>
      <c r="N42" s="6">
        <f t="shared" si="1"/>
        <v>52414</v>
      </c>
      <c r="O42" s="5"/>
      <c r="P42" s="47" t="s">
        <v>46</v>
      </c>
    </row>
    <row r="43" spans="2:16" ht="22" customHeight="1">
      <c r="B43" s="3">
        <v>45970</v>
      </c>
      <c r="C43" s="4">
        <v>45973</v>
      </c>
      <c r="D43" s="5">
        <v>3</v>
      </c>
      <c r="E43" s="5">
        <f t="shared" si="2"/>
        <v>6</v>
      </c>
      <c r="F43" s="5" t="s">
        <v>119</v>
      </c>
      <c r="G43" s="5" t="s">
        <v>49</v>
      </c>
      <c r="H43" s="5">
        <v>1</v>
      </c>
      <c r="I43" s="5" t="s">
        <v>202</v>
      </c>
      <c r="J43" s="5">
        <v>2</v>
      </c>
      <c r="K43" s="6">
        <v>47700</v>
      </c>
      <c r="L43" s="6">
        <v>5724</v>
      </c>
      <c r="M43" s="6">
        <v>1097</v>
      </c>
      <c r="N43" s="6">
        <f t="shared" si="1"/>
        <v>40879</v>
      </c>
      <c r="O43" s="5"/>
      <c r="P43" s="47" t="s">
        <v>46</v>
      </c>
    </row>
    <row r="44" spans="2:16" ht="22" customHeight="1">
      <c r="B44" s="3">
        <v>45972</v>
      </c>
      <c r="C44" s="4">
        <v>45975</v>
      </c>
      <c r="D44" s="5">
        <v>3</v>
      </c>
      <c r="E44" s="5">
        <f t="shared" si="2"/>
        <v>6</v>
      </c>
      <c r="F44" s="5" t="s">
        <v>119</v>
      </c>
      <c r="G44" s="5" t="s">
        <v>71</v>
      </c>
      <c r="H44" s="5">
        <v>1</v>
      </c>
      <c r="I44" s="5" t="s">
        <v>203</v>
      </c>
      <c r="J44" s="5">
        <v>2</v>
      </c>
      <c r="K44" s="6">
        <v>65067</v>
      </c>
      <c r="L44" s="6">
        <v>7808</v>
      </c>
      <c r="M44" s="6">
        <v>1497</v>
      </c>
      <c r="N44" s="6">
        <f t="shared" si="1"/>
        <v>55762</v>
      </c>
      <c r="O44" s="5"/>
      <c r="P44" s="47" t="s">
        <v>46</v>
      </c>
    </row>
    <row r="45" spans="2:16" ht="22" customHeight="1">
      <c r="B45" s="356">
        <v>45973</v>
      </c>
      <c r="C45" s="357">
        <v>45975</v>
      </c>
      <c r="D45" s="358">
        <v>2</v>
      </c>
      <c r="E45" s="358">
        <f t="shared" si="2"/>
        <v>4</v>
      </c>
      <c r="F45" s="358" t="s">
        <v>119</v>
      </c>
      <c r="G45" s="358" t="s">
        <v>54</v>
      </c>
      <c r="H45" s="358">
        <v>1</v>
      </c>
      <c r="I45" s="358" t="s">
        <v>204</v>
      </c>
      <c r="J45" s="358">
        <v>2</v>
      </c>
      <c r="K45" s="359">
        <v>42600</v>
      </c>
      <c r="L45" s="359">
        <v>5112</v>
      </c>
      <c r="M45" s="359">
        <v>980</v>
      </c>
      <c r="N45" s="359">
        <f t="shared" si="1"/>
        <v>36508</v>
      </c>
      <c r="O45" s="358"/>
      <c r="P45" s="360" t="s">
        <v>46</v>
      </c>
    </row>
    <row r="46" spans="2:16" ht="22" customHeight="1">
      <c r="B46" s="356">
        <v>45975</v>
      </c>
      <c r="C46" s="357">
        <v>45978</v>
      </c>
      <c r="D46" s="358">
        <v>3</v>
      </c>
      <c r="E46" s="358">
        <f t="shared" si="2"/>
        <v>6</v>
      </c>
      <c r="F46" s="358" t="s">
        <v>119</v>
      </c>
      <c r="G46" s="358" t="s">
        <v>54</v>
      </c>
      <c r="H46" s="358">
        <v>1</v>
      </c>
      <c r="I46" s="358" t="s">
        <v>205</v>
      </c>
      <c r="J46" s="358">
        <v>2</v>
      </c>
      <c r="K46" s="359">
        <v>79200</v>
      </c>
      <c r="L46" s="359">
        <v>9504</v>
      </c>
      <c r="M46" s="359">
        <v>1822</v>
      </c>
      <c r="N46" s="359">
        <f t="shared" si="1"/>
        <v>67874</v>
      </c>
      <c r="O46" s="358"/>
      <c r="P46" s="360" t="s">
        <v>46</v>
      </c>
    </row>
    <row r="47" spans="2:16" ht="22" customHeight="1">
      <c r="B47" s="3">
        <v>45971</v>
      </c>
      <c r="C47" s="4">
        <v>45978</v>
      </c>
      <c r="D47" s="5">
        <v>7</v>
      </c>
      <c r="E47" s="5">
        <f t="shared" si="2"/>
        <v>14</v>
      </c>
      <c r="F47" s="5" t="s">
        <v>119</v>
      </c>
      <c r="G47" s="5" t="s">
        <v>49</v>
      </c>
      <c r="H47" s="5">
        <v>1</v>
      </c>
      <c r="I47" s="5" t="s">
        <v>206</v>
      </c>
      <c r="J47" s="5">
        <v>2</v>
      </c>
      <c r="K47" s="6">
        <v>202940</v>
      </c>
      <c r="L47" s="6">
        <v>24353</v>
      </c>
      <c r="M47" s="6">
        <v>4668</v>
      </c>
      <c r="N47" s="6">
        <f t="shared" si="1"/>
        <v>173919</v>
      </c>
      <c r="O47" s="5"/>
      <c r="P47" s="47" t="s">
        <v>46</v>
      </c>
    </row>
    <row r="48" spans="2:16" ht="22" customHeight="1">
      <c r="B48" s="356">
        <v>45980</v>
      </c>
      <c r="C48" s="357">
        <v>45981</v>
      </c>
      <c r="D48" s="358">
        <v>1</v>
      </c>
      <c r="E48" s="358">
        <f t="shared" si="2"/>
        <v>2</v>
      </c>
      <c r="F48" s="358" t="s">
        <v>119</v>
      </c>
      <c r="G48" s="358" t="s">
        <v>54</v>
      </c>
      <c r="H48" s="358">
        <v>1</v>
      </c>
      <c r="I48" s="358" t="s">
        <v>207</v>
      </c>
      <c r="J48" s="358">
        <v>2</v>
      </c>
      <c r="K48" s="359">
        <v>18200</v>
      </c>
      <c r="L48" s="359">
        <v>2184</v>
      </c>
      <c r="M48" s="359">
        <v>419</v>
      </c>
      <c r="N48" s="359">
        <f t="shared" si="1"/>
        <v>15597</v>
      </c>
      <c r="O48" s="358"/>
      <c r="P48" s="360" t="s">
        <v>46</v>
      </c>
    </row>
    <row r="49" spans="2:16" ht="22" customHeight="1">
      <c r="B49" s="3">
        <v>45982</v>
      </c>
      <c r="C49" s="4">
        <v>45983</v>
      </c>
      <c r="D49" s="5">
        <v>1</v>
      </c>
      <c r="E49" s="5">
        <f t="shared" si="2"/>
        <v>2</v>
      </c>
      <c r="F49" s="5" t="s">
        <v>119</v>
      </c>
      <c r="G49" s="5" t="s">
        <v>49</v>
      </c>
      <c r="H49" s="5">
        <v>1</v>
      </c>
      <c r="I49" s="5" t="s">
        <v>208</v>
      </c>
      <c r="J49" s="5">
        <v>2</v>
      </c>
      <c r="K49" s="6">
        <v>19900</v>
      </c>
      <c r="L49" s="6">
        <v>2388</v>
      </c>
      <c r="M49" s="6">
        <v>458</v>
      </c>
      <c r="N49" s="6">
        <f t="shared" si="1"/>
        <v>17054</v>
      </c>
      <c r="O49" s="5"/>
      <c r="P49" s="47" t="s">
        <v>46</v>
      </c>
    </row>
    <row r="50" spans="2:16" ht="22" customHeight="1">
      <c r="B50" s="3">
        <v>45984</v>
      </c>
      <c r="C50" s="4">
        <v>45985</v>
      </c>
      <c r="D50" s="5">
        <v>1</v>
      </c>
      <c r="E50" s="5">
        <f t="shared" si="2"/>
        <v>4</v>
      </c>
      <c r="F50" s="5" t="s">
        <v>119</v>
      </c>
      <c r="G50" s="5" t="s">
        <v>56</v>
      </c>
      <c r="H50" s="5">
        <v>1</v>
      </c>
      <c r="I50" s="5" t="s">
        <v>209</v>
      </c>
      <c r="J50" s="5">
        <v>4</v>
      </c>
      <c r="K50" s="6">
        <v>41000</v>
      </c>
      <c r="L50" s="6">
        <v>4920</v>
      </c>
      <c r="M50" s="6">
        <v>943</v>
      </c>
      <c r="N50" s="6">
        <f t="shared" si="1"/>
        <v>35137</v>
      </c>
      <c r="O50" s="5"/>
      <c r="P50" s="47" t="s">
        <v>46</v>
      </c>
    </row>
    <row r="51" spans="2:16" ht="22" customHeight="1">
      <c r="B51" s="3">
        <v>45984</v>
      </c>
      <c r="C51" s="4">
        <v>45986</v>
      </c>
      <c r="D51" s="5">
        <v>2</v>
      </c>
      <c r="E51" s="5">
        <f t="shared" si="2"/>
        <v>4</v>
      </c>
      <c r="F51" s="5" t="s">
        <v>119</v>
      </c>
      <c r="G51" s="5" t="s">
        <v>71</v>
      </c>
      <c r="H51" s="5">
        <v>1</v>
      </c>
      <c r="I51" s="5" t="s">
        <v>210</v>
      </c>
      <c r="J51" s="5">
        <v>2</v>
      </c>
      <c r="K51" s="6">
        <v>56118</v>
      </c>
      <c r="L51" s="6">
        <v>6734</v>
      </c>
      <c r="M51" s="6">
        <v>1291</v>
      </c>
      <c r="N51" s="6">
        <f t="shared" si="1"/>
        <v>48093</v>
      </c>
      <c r="O51" s="5"/>
      <c r="P51" s="47" t="s">
        <v>46</v>
      </c>
    </row>
    <row r="52" spans="2:16" ht="22" customHeight="1">
      <c r="B52" s="3">
        <v>45983</v>
      </c>
      <c r="C52" s="4">
        <v>45987</v>
      </c>
      <c r="D52" s="5">
        <v>4</v>
      </c>
      <c r="E52" s="5">
        <f t="shared" si="2"/>
        <v>8</v>
      </c>
      <c r="F52" s="5" t="s">
        <v>119</v>
      </c>
      <c r="G52" s="5" t="s">
        <v>49</v>
      </c>
      <c r="H52" s="5">
        <v>1</v>
      </c>
      <c r="I52" s="5" t="s">
        <v>211</v>
      </c>
      <c r="J52" s="5">
        <v>2</v>
      </c>
      <c r="K52" s="6">
        <v>88960</v>
      </c>
      <c r="L52" s="6">
        <v>10675</v>
      </c>
      <c r="M52" s="6">
        <v>2046</v>
      </c>
      <c r="N52" s="6">
        <f t="shared" si="1"/>
        <v>76239</v>
      </c>
      <c r="O52" s="5"/>
      <c r="P52" s="47" t="s">
        <v>46</v>
      </c>
    </row>
    <row r="53" spans="2:16" ht="22" customHeight="1">
      <c r="B53" s="3">
        <v>45986</v>
      </c>
      <c r="C53" s="4">
        <v>45988</v>
      </c>
      <c r="D53" s="5">
        <v>2</v>
      </c>
      <c r="E53" s="5">
        <f t="shared" si="2"/>
        <v>4</v>
      </c>
      <c r="F53" s="5" t="s">
        <v>119</v>
      </c>
      <c r="G53" s="5" t="s">
        <v>49</v>
      </c>
      <c r="H53" s="5">
        <v>1</v>
      </c>
      <c r="I53" s="5" t="s">
        <v>212</v>
      </c>
      <c r="J53" s="5">
        <v>2</v>
      </c>
      <c r="K53" s="6">
        <v>39360</v>
      </c>
      <c r="L53" s="6">
        <v>4723</v>
      </c>
      <c r="M53" s="6">
        <v>905</v>
      </c>
      <c r="N53" s="6">
        <f t="shared" si="1"/>
        <v>33732</v>
      </c>
      <c r="O53" s="5"/>
      <c r="P53" s="47" t="s">
        <v>46</v>
      </c>
    </row>
    <row r="54" spans="2:16" ht="22" customHeight="1">
      <c r="B54" s="356">
        <v>45985</v>
      </c>
      <c r="C54" s="357">
        <v>45989</v>
      </c>
      <c r="D54" s="358">
        <v>4</v>
      </c>
      <c r="E54" s="358">
        <f t="shared" si="2"/>
        <v>8</v>
      </c>
      <c r="F54" s="358" t="s">
        <v>119</v>
      </c>
      <c r="G54" s="358" t="s">
        <v>54</v>
      </c>
      <c r="H54" s="358">
        <v>1</v>
      </c>
      <c r="I54" s="358" t="s">
        <v>213</v>
      </c>
      <c r="J54" s="358">
        <v>2</v>
      </c>
      <c r="K54" s="359">
        <v>88350</v>
      </c>
      <c r="L54" s="359">
        <v>10602</v>
      </c>
      <c r="M54" s="359">
        <v>2032</v>
      </c>
      <c r="N54" s="359">
        <f t="shared" si="1"/>
        <v>75716</v>
      </c>
      <c r="O54" s="358"/>
      <c r="P54" s="360" t="s">
        <v>46</v>
      </c>
    </row>
    <row r="55" spans="2:16" ht="22" customHeight="1">
      <c r="B55" s="3">
        <v>45989</v>
      </c>
      <c r="C55" s="4">
        <v>45990</v>
      </c>
      <c r="D55" s="5">
        <v>1</v>
      </c>
      <c r="E55" s="5">
        <f t="shared" si="2"/>
        <v>2</v>
      </c>
      <c r="F55" s="5" t="s">
        <v>119</v>
      </c>
      <c r="G55" s="5" t="s">
        <v>49</v>
      </c>
      <c r="H55" s="5">
        <v>1</v>
      </c>
      <c r="I55" s="5" t="s">
        <v>214</v>
      </c>
      <c r="J55" s="5">
        <v>2</v>
      </c>
      <c r="K55" s="6">
        <v>19900</v>
      </c>
      <c r="L55" s="6">
        <v>2388</v>
      </c>
      <c r="M55" s="6">
        <v>458</v>
      </c>
      <c r="N55" s="6">
        <f t="shared" si="1"/>
        <v>17054</v>
      </c>
      <c r="O55" s="5"/>
      <c r="P55" s="47" t="s">
        <v>46</v>
      </c>
    </row>
    <row r="56" spans="2:16" ht="22" customHeight="1">
      <c r="B56" s="3">
        <v>45985</v>
      </c>
      <c r="C56" s="4">
        <v>45991</v>
      </c>
      <c r="D56" s="5">
        <v>6</v>
      </c>
      <c r="E56" s="5">
        <f t="shared" si="2"/>
        <v>24</v>
      </c>
      <c r="F56" s="5" t="s">
        <v>119</v>
      </c>
      <c r="G56" s="5" t="s">
        <v>56</v>
      </c>
      <c r="H56" s="5">
        <v>1</v>
      </c>
      <c r="I56" s="5" t="s">
        <v>215</v>
      </c>
      <c r="J56" s="5">
        <v>4</v>
      </c>
      <c r="K56" s="6">
        <v>256000</v>
      </c>
      <c r="L56" s="6">
        <v>30720</v>
      </c>
      <c r="M56" s="6">
        <v>5888</v>
      </c>
      <c r="N56" s="6">
        <f t="shared" si="1"/>
        <v>219392</v>
      </c>
      <c r="O56" s="5"/>
      <c r="P56" s="47" t="s">
        <v>46</v>
      </c>
    </row>
    <row r="57" spans="2:16" ht="22" customHeight="1">
      <c r="B57" s="3">
        <v>45961</v>
      </c>
      <c r="C57" s="4">
        <v>45967</v>
      </c>
      <c r="D57" s="5">
        <v>6</v>
      </c>
      <c r="E57" s="5">
        <f t="shared" si="2"/>
        <v>18</v>
      </c>
      <c r="F57" s="5" t="s">
        <v>132</v>
      </c>
      <c r="G57" s="5" t="s">
        <v>71</v>
      </c>
      <c r="H57" s="5">
        <v>1</v>
      </c>
      <c r="I57" s="5" t="s">
        <v>216</v>
      </c>
      <c r="J57" s="5">
        <v>3</v>
      </c>
      <c r="K57" s="6">
        <v>193332</v>
      </c>
      <c r="L57" s="6">
        <v>34800</v>
      </c>
      <c r="M57" s="6">
        <v>0</v>
      </c>
      <c r="N57" s="6">
        <f t="shared" si="1"/>
        <v>158532</v>
      </c>
      <c r="O57" s="5"/>
      <c r="P57" s="47" t="s">
        <v>46</v>
      </c>
    </row>
    <row r="58" spans="2:16" ht="22" customHeight="1">
      <c r="B58" s="356">
        <v>45963</v>
      </c>
      <c r="C58" s="357">
        <v>45969</v>
      </c>
      <c r="D58" s="358">
        <v>6</v>
      </c>
      <c r="E58" s="358">
        <f t="shared" si="2"/>
        <v>12</v>
      </c>
      <c r="F58" s="358" t="s">
        <v>132</v>
      </c>
      <c r="G58" s="358" t="s">
        <v>54</v>
      </c>
      <c r="H58" s="358">
        <v>1</v>
      </c>
      <c r="I58" s="358" t="s">
        <v>217</v>
      </c>
      <c r="J58" s="358">
        <v>2</v>
      </c>
      <c r="K58" s="359">
        <v>143845</v>
      </c>
      <c r="L58" s="359">
        <v>24701</v>
      </c>
      <c r="M58" s="359">
        <v>0</v>
      </c>
      <c r="N58" s="359">
        <f t="shared" si="1"/>
        <v>119144</v>
      </c>
      <c r="O58" s="358"/>
      <c r="P58" s="360" t="s">
        <v>46</v>
      </c>
    </row>
    <row r="59" spans="2:16" ht="22" customHeight="1">
      <c r="B59" s="3">
        <v>45967</v>
      </c>
      <c r="C59" s="4">
        <v>45972</v>
      </c>
      <c r="D59" s="5">
        <v>5</v>
      </c>
      <c r="E59" s="5">
        <f t="shared" si="2"/>
        <v>15</v>
      </c>
      <c r="F59" s="5" t="s">
        <v>132</v>
      </c>
      <c r="G59" s="5" t="s">
        <v>71</v>
      </c>
      <c r="H59" s="5">
        <v>1</v>
      </c>
      <c r="I59" s="5" t="s">
        <v>218</v>
      </c>
      <c r="J59" s="5">
        <v>3</v>
      </c>
      <c r="K59" s="6">
        <v>170773</v>
      </c>
      <c r="L59" s="6">
        <v>30740</v>
      </c>
      <c r="M59" s="6">
        <v>0</v>
      </c>
      <c r="N59" s="6">
        <f t="shared" si="1"/>
        <v>140033</v>
      </c>
      <c r="O59" s="5"/>
      <c r="P59" s="47" t="s">
        <v>46</v>
      </c>
    </row>
    <row r="60" spans="2:16" ht="22" customHeight="1">
      <c r="B60" s="356">
        <v>45969</v>
      </c>
      <c r="C60" s="357">
        <v>45973</v>
      </c>
      <c r="D60" s="358">
        <v>4</v>
      </c>
      <c r="E60" s="358">
        <f t="shared" si="2"/>
        <v>16</v>
      </c>
      <c r="F60" s="358" t="s">
        <v>132</v>
      </c>
      <c r="G60" s="358" t="s">
        <v>54</v>
      </c>
      <c r="H60" s="358">
        <v>1</v>
      </c>
      <c r="I60" s="358" t="s">
        <v>219</v>
      </c>
      <c r="J60" s="358">
        <v>4</v>
      </c>
      <c r="K60" s="359">
        <v>182880</v>
      </c>
      <c r="L60" s="359">
        <v>32920</v>
      </c>
      <c r="M60" s="359">
        <v>0</v>
      </c>
      <c r="N60" s="359">
        <f t="shared" si="1"/>
        <v>149960</v>
      </c>
      <c r="O60" s="358"/>
      <c r="P60" s="360" t="s">
        <v>46</v>
      </c>
    </row>
    <row r="61" spans="2:16" ht="22" customHeight="1">
      <c r="B61" s="3">
        <v>45969</v>
      </c>
      <c r="C61" s="4">
        <v>45977</v>
      </c>
      <c r="D61" s="5">
        <v>4</v>
      </c>
      <c r="E61" s="5">
        <f t="shared" si="2"/>
        <v>16</v>
      </c>
      <c r="F61" s="5" t="s">
        <v>132</v>
      </c>
      <c r="G61" s="5" t="s">
        <v>56</v>
      </c>
      <c r="H61" s="5">
        <v>1</v>
      </c>
      <c r="I61" s="5" t="s">
        <v>219</v>
      </c>
      <c r="J61" s="5">
        <v>4</v>
      </c>
      <c r="K61" s="6">
        <v>342000</v>
      </c>
      <c r="L61" s="6">
        <v>61560</v>
      </c>
      <c r="M61" s="6">
        <v>0</v>
      </c>
      <c r="N61" s="6">
        <f t="shared" si="1"/>
        <v>280440</v>
      </c>
      <c r="O61" s="5"/>
      <c r="P61" s="47" t="s">
        <v>46</v>
      </c>
    </row>
    <row r="62" spans="2:16" ht="22" customHeight="1">
      <c r="B62" s="3">
        <v>45972</v>
      </c>
      <c r="C62" s="4">
        <v>45975</v>
      </c>
      <c r="D62" s="5">
        <v>3</v>
      </c>
      <c r="E62" s="5">
        <f t="shared" si="2"/>
        <v>6</v>
      </c>
      <c r="F62" s="5" t="s">
        <v>132</v>
      </c>
      <c r="G62" s="5" t="s">
        <v>71</v>
      </c>
      <c r="H62" s="5">
        <v>1</v>
      </c>
      <c r="I62" s="5" t="s">
        <v>220</v>
      </c>
      <c r="J62" s="5">
        <v>2</v>
      </c>
      <c r="K62" s="6">
        <v>71039</v>
      </c>
      <c r="L62" s="6">
        <v>11598</v>
      </c>
      <c r="M62" s="6">
        <v>0</v>
      </c>
      <c r="N62" s="6">
        <f t="shared" si="1"/>
        <v>59441</v>
      </c>
      <c r="O62" s="5"/>
      <c r="P62" s="47" t="s">
        <v>46</v>
      </c>
    </row>
    <row r="63" spans="2:16" ht="22" customHeight="1">
      <c r="B63" s="356">
        <v>45976</v>
      </c>
      <c r="C63" s="357">
        <v>45978</v>
      </c>
      <c r="D63" s="358">
        <v>2</v>
      </c>
      <c r="E63" s="358">
        <f t="shared" si="2"/>
        <v>6</v>
      </c>
      <c r="F63" s="358" t="s">
        <v>132</v>
      </c>
      <c r="G63" s="358" t="s">
        <v>54</v>
      </c>
      <c r="H63" s="358">
        <v>1</v>
      </c>
      <c r="I63" s="358" t="s">
        <v>221</v>
      </c>
      <c r="J63" s="358">
        <v>3</v>
      </c>
      <c r="K63" s="359">
        <v>63688</v>
      </c>
      <c r="L63" s="359">
        <v>10276</v>
      </c>
      <c r="M63" s="359">
        <v>0</v>
      </c>
      <c r="N63" s="359">
        <f t="shared" si="1"/>
        <v>53412</v>
      </c>
      <c r="O63" s="358"/>
      <c r="P63" s="360" t="s">
        <v>46</v>
      </c>
    </row>
    <row r="64" spans="2:16" ht="22" customHeight="1">
      <c r="B64" s="3">
        <v>45980</v>
      </c>
      <c r="C64" s="4">
        <v>45984</v>
      </c>
      <c r="D64" s="5">
        <v>4</v>
      </c>
      <c r="E64" s="5">
        <f t="shared" si="2"/>
        <v>20</v>
      </c>
      <c r="F64" s="5" t="s">
        <v>132</v>
      </c>
      <c r="G64" s="5" t="s">
        <v>56</v>
      </c>
      <c r="H64" s="5">
        <v>1</v>
      </c>
      <c r="I64" s="5" t="s">
        <v>222</v>
      </c>
      <c r="J64" s="5">
        <v>5</v>
      </c>
      <c r="K64" s="6">
        <v>196650</v>
      </c>
      <c r="L64" s="6">
        <v>35396</v>
      </c>
      <c r="M64" s="6">
        <v>0</v>
      </c>
      <c r="N64" s="6">
        <f t="shared" si="1"/>
        <v>161254</v>
      </c>
      <c r="O64" s="5"/>
      <c r="P64" s="47" t="s">
        <v>46</v>
      </c>
    </row>
    <row r="65" spans="2:16" ht="22" customHeight="1">
      <c r="B65" s="356">
        <v>45961</v>
      </c>
      <c r="C65" s="357">
        <v>45963</v>
      </c>
      <c r="D65" s="358">
        <v>2</v>
      </c>
      <c r="E65" s="358">
        <f t="shared" si="2"/>
        <v>6</v>
      </c>
      <c r="F65" s="358" t="s">
        <v>136</v>
      </c>
      <c r="G65" s="358" t="s">
        <v>54</v>
      </c>
      <c r="H65" s="358">
        <v>1</v>
      </c>
      <c r="I65" s="358" t="s">
        <v>223</v>
      </c>
      <c r="J65" s="358">
        <v>3</v>
      </c>
      <c r="K65" s="359">
        <v>42500</v>
      </c>
      <c r="L65" s="359">
        <v>5100</v>
      </c>
      <c r="M65" s="359">
        <v>0</v>
      </c>
      <c r="N65" s="359">
        <f t="shared" si="1"/>
        <v>37400</v>
      </c>
      <c r="O65" s="358"/>
      <c r="P65" s="360" t="s">
        <v>46</v>
      </c>
    </row>
    <row r="66" spans="2:16" ht="22" customHeight="1">
      <c r="B66" s="3">
        <v>45962</v>
      </c>
      <c r="C66" s="4">
        <v>45964</v>
      </c>
      <c r="D66" s="5">
        <v>2</v>
      </c>
      <c r="E66" s="5">
        <f t="shared" si="2"/>
        <v>6</v>
      </c>
      <c r="F66" s="5" t="s">
        <v>136</v>
      </c>
      <c r="G66" s="5" t="s">
        <v>49</v>
      </c>
      <c r="H66" s="5">
        <v>1</v>
      </c>
      <c r="I66" s="5" t="s">
        <v>224</v>
      </c>
      <c r="J66" s="5">
        <v>3</v>
      </c>
      <c r="K66" s="6">
        <v>73160</v>
      </c>
      <c r="L66" s="6">
        <v>8780</v>
      </c>
      <c r="M66" s="6">
        <v>0</v>
      </c>
      <c r="N66" s="6">
        <f t="shared" si="1"/>
        <v>64380</v>
      </c>
      <c r="O66" s="5"/>
      <c r="P66" s="47" t="s">
        <v>46</v>
      </c>
    </row>
    <row r="67" spans="2:16" ht="22" customHeight="1">
      <c r="B67" s="3">
        <v>45964</v>
      </c>
      <c r="C67" s="4">
        <v>45968</v>
      </c>
      <c r="D67" s="5">
        <v>4</v>
      </c>
      <c r="E67" s="5">
        <f t="shared" si="2"/>
        <v>8</v>
      </c>
      <c r="F67" s="5" t="s">
        <v>136</v>
      </c>
      <c r="G67" s="5" t="s">
        <v>49</v>
      </c>
      <c r="H67" s="5">
        <v>1</v>
      </c>
      <c r="I67" s="5" t="s">
        <v>225</v>
      </c>
      <c r="J67" s="5">
        <v>2</v>
      </c>
      <c r="K67" s="6">
        <v>65330</v>
      </c>
      <c r="L67" s="6">
        <v>7841</v>
      </c>
      <c r="M67" s="6">
        <v>0</v>
      </c>
      <c r="N67" s="6">
        <f t="shared" si="1"/>
        <v>57489</v>
      </c>
      <c r="O67" s="5"/>
      <c r="P67" s="47" t="s">
        <v>46</v>
      </c>
    </row>
    <row r="68" spans="2:16" ht="22" customHeight="1">
      <c r="B68" s="356">
        <v>45966</v>
      </c>
      <c r="C68" s="357">
        <v>45970</v>
      </c>
      <c r="D68" s="358">
        <v>4</v>
      </c>
      <c r="E68" s="358">
        <f t="shared" si="2"/>
        <v>8</v>
      </c>
      <c r="F68" s="358" t="s">
        <v>136</v>
      </c>
      <c r="G68" s="358" t="s">
        <v>54</v>
      </c>
      <c r="H68" s="358">
        <v>1</v>
      </c>
      <c r="I68" s="358" t="s">
        <v>226</v>
      </c>
      <c r="J68" s="358">
        <v>2</v>
      </c>
      <c r="K68" s="359">
        <v>128100</v>
      </c>
      <c r="L68" s="359">
        <v>15372</v>
      </c>
      <c r="M68" s="359">
        <v>0</v>
      </c>
      <c r="N68" s="359">
        <f t="shared" ref="N68:N80" si="3">K68-L68-M68</f>
        <v>112728</v>
      </c>
      <c r="O68" s="358"/>
      <c r="P68" s="360" t="s">
        <v>46</v>
      </c>
    </row>
    <row r="69" spans="2:16" ht="22" customHeight="1">
      <c r="B69" s="3">
        <v>45969</v>
      </c>
      <c r="C69" s="4">
        <v>45971</v>
      </c>
      <c r="D69" s="5">
        <v>2</v>
      </c>
      <c r="E69" s="5">
        <f t="shared" ref="E69:E85" si="4">D69*J69</f>
        <v>4</v>
      </c>
      <c r="F69" s="5" t="s">
        <v>136</v>
      </c>
      <c r="G69" s="5" t="s">
        <v>49</v>
      </c>
      <c r="H69" s="5">
        <v>1</v>
      </c>
      <c r="I69" s="5" t="s">
        <v>227</v>
      </c>
      <c r="J69" s="5">
        <v>2</v>
      </c>
      <c r="K69" s="6">
        <v>30580</v>
      </c>
      <c r="L69" s="6">
        <v>3669</v>
      </c>
      <c r="M69" s="6">
        <v>0</v>
      </c>
      <c r="N69" s="6">
        <f t="shared" si="3"/>
        <v>26911</v>
      </c>
      <c r="O69" s="5"/>
      <c r="P69" s="47" t="s">
        <v>46</v>
      </c>
    </row>
    <row r="70" spans="2:16" ht="22" customHeight="1">
      <c r="B70" s="3">
        <v>45971</v>
      </c>
      <c r="C70" s="4">
        <v>45974</v>
      </c>
      <c r="D70" s="5">
        <v>3</v>
      </c>
      <c r="E70" s="5">
        <f t="shared" si="4"/>
        <v>6</v>
      </c>
      <c r="F70" s="5" t="s">
        <v>136</v>
      </c>
      <c r="G70" s="5" t="s">
        <v>49</v>
      </c>
      <c r="H70" s="5">
        <v>1</v>
      </c>
      <c r="I70" s="5" t="s">
        <v>228</v>
      </c>
      <c r="J70" s="5">
        <v>2</v>
      </c>
      <c r="K70" s="6">
        <v>51870</v>
      </c>
      <c r="L70" s="6">
        <v>5505</v>
      </c>
      <c r="M70" s="6">
        <v>0</v>
      </c>
      <c r="N70" s="6">
        <f t="shared" si="3"/>
        <v>46365</v>
      </c>
      <c r="O70" s="5"/>
      <c r="P70" s="47" t="s">
        <v>46</v>
      </c>
    </row>
    <row r="71" spans="2:16" ht="22" customHeight="1">
      <c r="B71" s="356">
        <v>45972</v>
      </c>
      <c r="C71" s="357">
        <v>45976</v>
      </c>
      <c r="D71" s="358">
        <v>4</v>
      </c>
      <c r="E71" s="358">
        <f t="shared" si="4"/>
        <v>8</v>
      </c>
      <c r="F71" s="358" t="s">
        <v>136</v>
      </c>
      <c r="G71" s="358" t="s">
        <v>54</v>
      </c>
      <c r="H71" s="358">
        <v>1</v>
      </c>
      <c r="I71" s="358" t="s">
        <v>229</v>
      </c>
      <c r="J71" s="358">
        <v>2</v>
      </c>
      <c r="K71" s="359">
        <v>91500</v>
      </c>
      <c r="L71" s="359">
        <v>10980</v>
      </c>
      <c r="M71" s="359">
        <v>0</v>
      </c>
      <c r="N71" s="359">
        <f t="shared" si="3"/>
        <v>80520</v>
      </c>
      <c r="O71" s="358"/>
      <c r="P71" s="360" t="s">
        <v>46</v>
      </c>
    </row>
    <row r="72" spans="2:16" ht="22" customHeight="1">
      <c r="B72" s="3">
        <v>45975</v>
      </c>
      <c r="C72" s="4">
        <v>45977</v>
      </c>
      <c r="D72" s="5">
        <v>2</v>
      </c>
      <c r="E72" s="5">
        <f t="shared" si="4"/>
        <v>6</v>
      </c>
      <c r="F72" s="5" t="s">
        <v>136</v>
      </c>
      <c r="G72" s="5" t="s">
        <v>43</v>
      </c>
      <c r="H72" s="5">
        <v>1</v>
      </c>
      <c r="I72" s="5" t="s">
        <v>230</v>
      </c>
      <c r="J72" s="5">
        <v>3</v>
      </c>
      <c r="K72" s="6">
        <v>46560</v>
      </c>
      <c r="L72" s="6">
        <v>5588</v>
      </c>
      <c r="M72" s="6">
        <v>0</v>
      </c>
      <c r="N72" s="6">
        <f t="shared" si="3"/>
        <v>40972</v>
      </c>
      <c r="O72" s="5"/>
      <c r="P72" s="47" t="s">
        <v>46</v>
      </c>
    </row>
    <row r="73" spans="2:16" ht="22" customHeight="1">
      <c r="B73" s="3">
        <v>45974</v>
      </c>
      <c r="C73" s="4">
        <v>45977</v>
      </c>
      <c r="D73" s="5">
        <v>3</v>
      </c>
      <c r="E73" s="5">
        <f t="shared" si="4"/>
        <v>6</v>
      </c>
      <c r="F73" s="5" t="s">
        <v>136</v>
      </c>
      <c r="G73" s="5" t="s">
        <v>49</v>
      </c>
      <c r="H73" s="5">
        <v>1</v>
      </c>
      <c r="I73" s="5" t="s">
        <v>231</v>
      </c>
      <c r="J73" s="5">
        <v>2</v>
      </c>
      <c r="K73" s="6">
        <v>88960</v>
      </c>
      <c r="L73" s="6">
        <v>10676</v>
      </c>
      <c r="M73" s="6">
        <v>0</v>
      </c>
      <c r="N73" s="6">
        <f t="shared" si="3"/>
        <v>78284</v>
      </c>
      <c r="O73" s="5"/>
      <c r="P73" s="47" t="s">
        <v>46</v>
      </c>
    </row>
    <row r="74" spans="2:16" ht="22" customHeight="1">
      <c r="B74" s="356">
        <v>45978</v>
      </c>
      <c r="C74" s="357">
        <v>45982</v>
      </c>
      <c r="D74" s="358">
        <v>4</v>
      </c>
      <c r="E74" s="358">
        <f t="shared" si="4"/>
        <v>8</v>
      </c>
      <c r="F74" s="358" t="s">
        <v>136</v>
      </c>
      <c r="G74" s="358" t="s">
        <v>54</v>
      </c>
      <c r="H74" s="358">
        <v>1</v>
      </c>
      <c r="I74" s="358" t="s">
        <v>232</v>
      </c>
      <c r="J74" s="358">
        <v>2</v>
      </c>
      <c r="K74" s="359">
        <v>122000</v>
      </c>
      <c r="L74" s="359">
        <v>14640</v>
      </c>
      <c r="M74" s="359">
        <v>0</v>
      </c>
      <c r="N74" s="359">
        <f t="shared" si="3"/>
        <v>107360</v>
      </c>
      <c r="O74" s="358"/>
      <c r="P74" s="360" t="s">
        <v>46</v>
      </c>
    </row>
    <row r="75" spans="2:16" ht="22" customHeight="1">
      <c r="B75" s="3">
        <v>45982</v>
      </c>
      <c r="C75" s="4">
        <v>45984</v>
      </c>
      <c r="D75" s="5">
        <v>2</v>
      </c>
      <c r="E75" s="5">
        <f t="shared" si="4"/>
        <v>8</v>
      </c>
      <c r="F75" s="5" t="s">
        <v>136</v>
      </c>
      <c r="G75" s="5" t="s">
        <v>71</v>
      </c>
      <c r="H75" s="5">
        <v>1</v>
      </c>
      <c r="I75" s="5" t="s">
        <v>233</v>
      </c>
      <c r="J75" s="5">
        <v>4</v>
      </c>
      <c r="K75" s="6">
        <v>90760</v>
      </c>
      <c r="L75" s="6">
        <v>10892</v>
      </c>
      <c r="M75" s="6">
        <v>0</v>
      </c>
      <c r="N75" s="6">
        <f t="shared" si="3"/>
        <v>79868</v>
      </c>
      <c r="O75" s="5"/>
      <c r="P75" s="47" t="s">
        <v>46</v>
      </c>
    </row>
    <row r="76" spans="2:16" ht="22" customHeight="1">
      <c r="B76" s="3">
        <v>45983</v>
      </c>
      <c r="C76" s="4">
        <v>45985</v>
      </c>
      <c r="D76" s="5">
        <v>2</v>
      </c>
      <c r="E76" s="5">
        <f t="shared" si="4"/>
        <v>6</v>
      </c>
      <c r="F76" s="5" t="s">
        <v>136</v>
      </c>
      <c r="G76" s="5" t="s">
        <v>43</v>
      </c>
      <c r="H76" s="5">
        <v>1</v>
      </c>
      <c r="I76" s="5" t="s">
        <v>234</v>
      </c>
      <c r="J76" s="5">
        <v>3</v>
      </c>
      <c r="K76" s="6">
        <v>80360</v>
      </c>
      <c r="L76" s="6">
        <v>9645</v>
      </c>
      <c r="M76" s="6">
        <v>0</v>
      </c>
      <c r="N76" s="6">
        <f t="shared" si="3"/>
        <v>70715</v>
      </c>
      <c r="O76" s="5"/>
      <c r="P76" s="47" t="s">
        <v>46</v>
      </c>
    </row>
    <row r="77" spans="2:16" ht="22" customHeight="1">
      <c r="B77" s="3">
        <v>45984</v>
      </c>
      <c r="C77" s="4">
        <v>45986</v>
      </c>
      <c r="D77" s="5">
        <v>2</v>
      </c>
      <c r="E77" s="5">
        <f t="shared" si="4"/>
        <v>6</v>
      </c>
      <c r="F77" s="5" t="s">
        <v>136</v>
      </c>
      <c r="G77" s="5" t="s">
        <v>49</v>
      </c>
      <c r="H77" s="5">
        <v>1</v>
      </c>
      <c r="I77" s="5" t="s">
        <v>235</v>
      </c>
      <c r="J77" s="5">
        <v>3</v>
      </c>
      <c r="K77" s="6">
        <v>70380</v>
      </c>
      <c r="L77" s="6">
        <v>8446</v>
      </c>
      <c r="M77" s="6">
        <v>0</v>
      </c>
      <c r="N77" s="6">
        <f t="shared" si="3"/>
        <v>61934</v>
      </c>
      <c r="O77" s="5"/>
      <c r="P77" s="47" t="s">
        <v>46</v>
      </c>
    </row>
    <row r="78" spans="2:16" ht="22" customHeight="1">
      <c r="B78" s="356">
        <v>45985</v>
      </c>
      <c r="C78" s="357">
        <v>45989</v>
      </c>
      <c r="D78" s="358">
        <v>4</v>
      </c>
      <c r="E78" s="358">
        <f t="shared" si="4"/>
        <v>8</v>
      </c>
      <c r="F78" s="358" t="s">
        <v>136</v>
      </c>
      <c r="G78" s="358" t="s">
        <v>54</v>
      </c>
      <c r="H78" s="358">
        <v>1</v>
      </c>
      <c r="I78" s="358" t="s">
        <v>236</v>
      </c>
      <c r="J78" s="358">
        <v>2</v>
      </c>
      <c r="K78" s="359">
        <v>67000</v>
      </c>
      <c r="L78" s="359">
        <v>7320</v>
      </c>
      <c r="M78" s="359">
        <v>0</v>
      </c>
      <c r="N78" s="359">
        <f t="shared" si="3"/>
        <v>59680</v>
      </c>
      <c r="O78" s="358"/>
      <c r="P78" s="360" t="s">
        <v>46</v>
      </c>
    </row>
    <row r="79" spans="2:16" ht="22" customHeight="1">
      <c r="B79" s="3">
        <v>45987</v>
      </c>
      <c r="C79" s="4">
        <v>45990</v>
      </c>
      <c r="D79" s="5">
        <v>3</v>
      </c>
      <c r="E79" s="5">
        <f t="shared" si="4"/>
        <v>6</v>
      </c>
      <c r="F79" s="5" t="s">
        <v>136</v>
      </c>
      <c r="G79" s="5" t="s">
        <v>49</v>
      </c>
      <c r="H79" s="5">
        <v>1</v>
      </c>
      <c r="I79" s="5" t="s">
        <v>237</v>
      </c>
      <c r="J79" s="5">
        <v>2</v>
      </c>
      <c r="K79" s="6">
        <v>61160</v>
      </c>
      <c r="L79" s="6">
        <v>7339</v>
      </c>
      <c r="M79" s="6">
        <v>0</v>
      </c>
      <c r="N79" s="6">
        <f t="shared" si="3"/>
        <v>53821</v>
      </c>
      <c r="O79" s="5"/>
      <c r="P79" s="47" t="s">
        <v>46</v>
      </c>
    </row>
    <row r="80" spans="2:16" ht="22" customHeight="1">
      <c r="B80" s="356">
        <v>45989</v>
      </c>
      <c r="C80" s="357">
        <v>45991</v>
      </c>
      <c r="D80" s="358">
        <v>2</v>
      </c>
      <c r="E80" s="358">
        <f t="shared" si="4"/>
        <v>6</v>
      </c>
      <c r="F80" s="358" t="s">
        <v>136</v>
      </c>
      <c r="G80" s="358" t="s">
        <v>54</v>
      </c>
      <c r="H80" s="358">
        <v>1</v>
      </c>
      <c r="I80" s="358" t="s">
        <v>238</v>
      </c>
      <c r="J80" s="358">
        <v>3</v>
      </c>
      <c r="K80" s="359">
        <v>79100</v>
      </c>
      <c r="L80" s="359">
        <v>9492</v>
      </c>
      <c r="M80" s="359">
        <v>0</v>
      </c>
      <c r="N80" s="359">
        <f t="shared" si="3"/>
        <v>69608</v>
      </c>
      <c r="O80" s="358"/>
      <c r="P80" s="360" t="s">
        <v>46</v>
      </c>
    </row>
    <row r="81" spans="2:16 16372:16374" ht="22" customHeight="1">
      <c r="B81" s="3">
        <v>45988</v>
      </c>
      <c r="C81" s="4">
        <v>45989</v>
      </c>
      <c r="D81" s="5">
        <v>1</v>
      </c>
      <c r="E81" s="5">
        <f t="shared" si="4"/>
        <v>1</v>
      </c>
      <c r="F81" s="5" t="s">
        <v>239</v>
      </c>
      <c r="G81" s="5" t="s">
        <v>71</v>
      </c>
      <c r="H81" s="5">
        <v>1</v>
      </c>
      <c r="I81" s="5" t="s">
        <v>240</v>
      </c>
      <c r="J81" s="5">
        <v>1</v>
      </c>
      <c r="K81" s="6">
        <v>15250</v>
      </c>
      <c r="L81" s="464">
        <v>12568</v>
      </c>
      <c r="M81" s="464">
        <v>4398</v>
      </c>
      <c r="N81" s="464">
        <v>97298</v>
      </c>
      <c r="O81" s="5"/>
      <c r="P81" s="47" t="s">
        <v>46</v>
      </c>
    </row>
    <row r="82" spans="2:16 16372:16374" ht="22" customHeight="1">
      <c r="B82" s="3">
        <v>45988</v>
      </c>
      <c r="C82" s="4">
        <v>45989</v>
      </c>
      <c r="D82" s="5">
        <v>1</v>
      </c>
      <c r="E82" s="5">
        <f t="shared" si="4"/>
        <v>2</v>
      </c>
      <c r="F82" s="5" t="s">
        <v>239</v>
      </c>
      <c r="G82" s="5" t="s">
        <v>43</v>
      </c>
      <c r="H82" s="5">
        <v>1</v>
      </c>
      <c r="I82" s="5" t="s">
        <v>241</v>
      </c>
      <c r="J82" s="5">
        <v>2</v>
      </c>
      <c r="K82" s="6">
        <v>15250</v>
      </c>
      <c r="L82" s="464"/>
      <c r="M82" s="464"/>
      <c r="N82" s="464"/>
      <c r="O82" s="5"/>
      <c r="P82" s="47" t="s">
        <v>46</v>
      </c>
    </row>
    <row r="83" spans="2:16 16372:16374" ht="22" customHeight="1">
      <c r="B83" s="3">
        <v>45990</v>
      </c>
      <c r="C83" s="4">
        <v>45991</v>
      </c>
      <c r="D83" s="5">
        <v>1</v>
      </c>
      <c r="E83" s="5">
        <f t="shared" si="4"/>
        <v>2</v>
      </c>
      <c r="F83" s="5" t="s">
        <v>239</v>
      </c>
      <c r="G83" s="5" t="s">
        <v>49</v>
      </c>
      <c r="H83" s="5">
        <v>1</v>
      </c>
      <c r="I83" s="5" t="s">
        <v>242</v>
      </c>
      <c r="J83" s="5">
        <v>2</v>
      </c>
      <c r="K83" s="6">
        <v>22240</v>
      </c>
      <c r="L83" s="464"/>
      <c r="M83" s="464"/>
      <c r="N83" s="464"/>
      <c r="O83" s="5"/>
      <c r="P83" s="47" t="s">
        <v>46</v>
      </c>
    </row>
    <row r="84" spans="2:16 16372:16374" ht="22" customHeight="1">
      <c r="B84" s="3">
        <v>45980</v>
      </c>
      <c r="C84" s="4">
        <v>45982</v>
      </c>
      <c r="D84" s="5">
        <v>2</v>
      </c>
      <c r="E84" s="5">
        <f t="shared" si="4"/>
        <v>2</v>
      </c>
      <c r="F84" s="5" t="s">
        <v>239</v>
      </c>
      <c r="G84" s="5" t="s">
        <v>49</v>
      </c>
      <c r="H84" s="5">
        <v>1</v>
      </c>
      <c r="I84" s="5" t="s">
        <v>243</v>
      </c>
      <c r="J84" s="5">
        <v>1</v>
      </c>
      <c r="K84" s="6">
        <v>30580</v>
      </c>
      <c r="L84" s="464"/>
      <c r="M84" s="464"/>
      <c r="N84" s="464"/>
      <c r="O84" s="5"/>
      <c r="P84" s="47" t="s">
        <v>46</v>
      </c>
    </row>
    <row r="85" spans="2:16 16372:16374" ht="22" customHeight="1">
      <c r="B85" s="3">
        <v>45985</v>
      </c>
      <c r="C85" s="4">
        <v>45986</v>
      </c>
      <c r="D85" s="5">
        <v>1</v>
      </c>
      <c r="E85" s="5">
        <f t="shared" si="4"/>
        <v>3</v>
      </c>
      <c r="F85" s="5" t="s">
        <v>239</v>
      </c>
      <c r="G85" s="5" t="s">
        <v>43</v>
      </c>
      <c r="H85" s="5">
        <v>1</v>
      </c>
      <c r="I85" s="5" t="s">
        <v>244</v>
      </c>
      <c r="J85" s="5">
        <v>3</v>
      </c>
      <c r="K85" s="6">
        <v>19824</v>
      </c>
      <c r="L85" s="464"/>
      <c r="M85" s="464"/>
      <c r="N85" s="464"/>
      <c r="O85" s="5"/>
      <c r="P85" s="47" t="s">
        <v>46</v>
      </c>
    </row>
    <row r="86" spans="2:16 16372:16374" ht="22" customHeight="1" thickBot="1">
      <c r="B86" s="8">
        <v>45973</v>
      </c>
      <c r="C86" s="9">
        <v>45974</v>
      </c>
      <c r="D86" s="10">
        <v>1</v>
      </c>
      <c r="E86" s="10">
        <f>D86*J86</f>
        <v>1</v>
      </c>
      <c r="F86" s="10" t="s">
        <v>239</v>
      </c>
      <c r="G86" s="10" t="s">
        <v>49</v>
      </c>
      <c r="H86" s="10">
        <v>1</v>
      </c>
      <c r="I86" s="10" t="s">
        <v>245</v>
      </c>
      <c r="J86" s="10">
        <v>1</v>
      </c>
      <c r="K86" s="11">
        <v>11120</v>
      </c>
      <c r="L86" s="465"/>
      <c r="M86" s="465"/>
      <c r="N86" s="465"/>
      <c r="O86" s="10"/>
      <c r="P86" s="53" t="s">
        <v>46</v>
      </c>
    </row>
    <row r="87" spans="2:16 16372:16374" s="13" customFormat="1" ht="22" customHeight="1">
      <c r="B87" s="14"/>
      <c r="C87" s="14"/>
      <c r="D87" s="15"/>
      <c r="E87" s="15"/>
      <c r="F87" s="14"/>
      <c r="G87" s="14"/>
      <c r="H87" s="15"/>
      <c r="I87" s="14"/>
      <c r="J87" s="15"/>
      <c r="K87" s="16"/>
      <c r="L87" s="16"/>
      <c r="M87" s="16"/>
      <c r="N87" s="16"/>
      <c r="XER87" s="17"/>
      <c r="XES87" s="17"/>
      <c r="XET87" s="17"/>
    </row>
    <row r="88" spans="2:16 16372:16374" s="13" customFormat="1" ht="22" customHeight="1">
      <c r="B88" s="4"/>
      <c r="C88" s="4"/>
      <c r="D88" s="5"/>
      <c r="E88" s="5"/>
      <c r="F88" s="4"/>
      <c r="G88" s="4"/>
      <c r="H88" s="5"/>
      <c r="I88" s="4"/>
      <c r="J88" s="5"/>
      <c r="K88" s="6"/>
      <c r="L88" s="6"/>
      <c r="M88" s="6"/>
      <c r="N88" s="6"/>
      <c r="XER88" s="17"/>
      <c r="XES88" s="17"/>
      <c r="XET88" s="17"/>
    </row>
    <row r="89" spans="2:16 16372:16374" s="13" customFormat="1" ht="22" customHeight="1">
      <c r="B89" s="4"/>
      <c r="C89" s="4"/>
      <c r="D89" s="5"/>
      <c r="E89" s="5"/>
      <c r="F89" s="4"/>
      <c r="G89" s="4"/>
      <c r="H89" s="5"/>
      <c r="I89" s="4"/>
      <c r="J89" s="5"/>
      <c r="K89" s="6"/>
      <c r="L89" s="6"/>
      <c r="M89" s="6"/>
      <c r="N89" s="6"/>
      <c r="XER89" s="17"/>
      <c r="XES89" s="17"/>
      <c r="XET89" s="17"/>
    </row>
    <row r="90" spans="2:16 16372:16374" s="13" customFormat="1" ht="22" customHeight="1">
      <c r="B90" s="4"/>
      <c r="C90" s="4"/>
      <c r="D90" s="5"/>
      <c r="E90" s="5"/>
      <c r="F90" s="4"/>
      <c r="G90" s="4"/>
      <c r="H90" s="5"/>
      <c r="I90" s="4"/>
      <c r="J90" s="5"/>
      <c r="K90" s="6"/>
      <c r="L90" s="6"/>
      <c r="M90" s="6"/>
      <c r="N90" s="6"/>
      <c r="XER90" s="17"/>
      <c r="XES90" s="17"/>
      <c r="XET90" s="17"/>
    </row>
    <row r="91" spans="2:16 16372:16374" s="13" customFormat="1" ht="22" customHeight="1">
      <c r="B91" s="4"/>
      <c r="C91" s="4"/>
      <c r="D91" s="5"/>
      <c r="E91" s="5"/>
      <c r="F91" s="4"/>
      <c r="G91" s="4"/>
      <c r="H91" s="5"/>
      <c r="I91" s="4"/>
      <c r="J91" s="5"/>
      <c r="K91" s="6"/>
      <c r="L91" s="6"/>
      <c r="M91" s="6"/>
      <c r="N91" s="6"/>
      <c r="XER91" s="17"/>
      <c r="XES91" s="17"/>
      <c r="XET91" s="17"/>
    </row>
    <row r="92" spans="2:16 16372:16374" s="13" customFormat="1" ht="22" customHeight="1">
      <c r="B92" s="4"/>
      <c r="C92" s="4"/>
      <c r="D92" s="5"/>
      <c r="E92" s="5"/>
      <c r="F92" s="4"/>
      <c r="G92" s="4"/>
      <c r="H92" s="5"/>
      <c r="I92" s="4"/>
      <c r="J92" s="5"/>
      <c r="K92" s="6"/>
      <c r="L92" s="6"/>
      <c r="M92" s="6"/>
      <c r="N92" s="6"/>
      <c r="XER92" s="17"/>
      <c r="XES92" s="17"/>
      <c r="XET92" s="17"/>
    </row>
    <row r="93" spans="2:16 16372:16374" s="13" customFormat="1" ht="22" customHeight="1">
      <c r="B93" s="4"/>
      <c r="C93" s="4"/>
      <c r="D93" s="5"/>
      <c r="E93" s="5"/>
      <c r="F93" s="4"/>
      <c r="G93" s="4"/>
      <c r="H93" s="5"/>
      <c r="I93" s="4"/>
      <c r="J93" s="5"/>
      <c r="K93" s="6"/>
      <c r="L93" s="6"/>
      <c r="M93" s="6"/>
      <c r="N93" s="6"/>
      <c r="XER93" s="17"/>
      <c r="XES93" s="17"/>
      <c r="XET93" s="17"/>
    </row>
    <row r="94" spans="2:16 16372:16374" s="13" customFormat="1" ht="22" customHeight="1">
      <c r="B94" s="4"/>
      <c r="C94" s="4"/>
      <c r="D94" s="5"/>
      <c r="E94" s="5"/>
      <c r="F94" s="4"/>
      <c r="G94" s="4"/>
      <c r="H94" s="5"/>
      <c r="I94" s="4"/>
      <c r="J94" s="5"/>
      <c r="K94" s="6"/>
      <c r="L94" s="6"/>
      <c r="M94" s="6"/>
      <c r="N94" s="6"/>
      <c r="XER94" s="17"/>
      <c r="XES94" s="17"/>
      <c r="XET94" s="17"/>
    </row>
    <row r="95" spans="2:16 16372:16374" s="13" customFormat="1" ht="22" customHeight="1">
      <c r="B95" s="4"/>
      <c r="C95" s="4"/>
      <c r="D95" s="5"/>
      <c r="E95" s="5"/>
      <c r="F95" s="4"/>
      <c r="G95" s="4"/>
      <c r="H95" s="5"/>
      <c r="I95" s="4"/>
      <c r="J95" s="5"/>
      <c r="K95" s="6"/>
      <c r="L95" s="6"/>
      <c r="M95" s="6"/>
      <c r="N95" s="6"/>
      <c r="XER95" s="17"/>
      <c r="XES95" s="17"/>
      <c r="XET95" s="17"/>
    </row>
    <row r="96" spans="2:16 16372:16374" s="13" customFormat="1" ht="22" customHeight="1">
      <c r="B96" s="4"/>
      <c r="C96" s="4"/>
      <c r="D96" s="5"/>
      <c r="E96" s="5"/>
      <c r="F96" s="4"/>
      <c r="G96" s="4"/>
      <c r="H96" s="5"/>
      <c r="I96" s="4"/>
      <c r="J96" s="5"/>
      <c r="K96" s="6"/>
      <c r="L96" s="6"/>
      <c r="M96" s="6"/>
      <c r="N96" s="6"/>
      <c r="XER96" s="17"/>
      <c r="XES96" s="17"/>
      <c r="XET96" s="17"/>
    </row>
    <row r="97" spans="2:14 16372:16374" s="13" customFormat="1" ht="22" customHeight="1">
      <c r="B97" s="4"/>
      <c r="C97" s="4"/>
      <c r="D97" s="5"/>
      <c r="E97" s="5"/>
      <c r="F97" s="4"/>
      <c r="G97" s="4"/>
      <c r="H97" s="5"/>
      <c r="I97" s="4"/>
      <c r="J97" s="5"/>
      <c r="K97" s="6"/>
      <c r="L97" s="6"/>
      <c r="M97" s="6"/>
      <c r="N97" s="6"/>
      <c r="XER97" s="17"/>
      <c r="XES97" s="17"/>
      <c r="XET97" s="17"/>
    </row>
    <row r="98" spans="2:14 16372:16374" s="13" customFormat="1" ht="22" customHeight="1">
      <c r="B98" s="4"/>
      <c r="C98" s="4"/>
      <c r="D98" s="5"/>
      <c r="E98" s="5"/>
      <c r="F98" s="4"/>
      <c r="G98" s="4"/>
      <c r="H98" s="5"/>
      <c r="I98" s="4"/>
      <c r="J98" s="5"/>
      <c r="K98" s="6"/>
      <c r="L98" s="6"/>
      <c r="M98" s="6"/>
      <c r="N98" s="6"/>
      <c r="XER98" s="17"/>
      <c r="XES98" s="17"/>
      <c r="XET98" s="17"/>
    </row>
    <row r="99" spans="2:14 16372:16374" s="13" customFormat="1" ht="22" customHeight="1">
      <c r="B99" s="4"/>
      <c r="C99" s="4"/>
      <c r="D99" s="5"/>
      <c r="E99" s="5"/>
      <c r="F99" s="4"/>
      <c r="G99" s="4"/>
      <c r="H99" s="5"/>
      <c r="I99" s="4"/>
      <c r="J99" s="5"/>
      <c r="K99" s="6"/>
      <c r="L99" s="6"/>
      <c r="M99" s="6"/>
      <c r="N99" s="6"/>
      <c r="XER99" s="17"/>
      <c r="XES99" s="17"/>
      <c r="XET99" s="17"/>
    </row>
    <row r="100" spans="2:14 16372:16374" s="13" customFormat="1" ht="22" customHeight="1">
      <c r="B100" s="4"/>
      <c r="C100" s="4"/>
      <c r="D100" s="5"/>
      <c r="E100" s="5"/>
      <c r="F100" s="4"/>
      <c r="G100" s="4"/>
      <c r="H100" s="5"/>
      <c r="I100" s="4"/>
      <c r="J100" s="5"/>
      <c r="K100" s="6"/>
      <c r="L100" s="6"/>
      <c r="M100" s="6"/>
      <c r="N100" s="6"/>
      <c r="XER100" s="17"/>
      <c r="XES100" s="17"/>
      <c r="XET100" s="17"/>
    </row>
    <row r="101" spans="2:14 16372:16374" s="13" customFormat="1" ht="22" customHeight="1">
      <c r="B101" s="4"/>
      <c r="C101" s="4"/>
      <c r="D101" s="5"/>
      <c r="E101" s="5"/>
      <c r="F101" s="4"/>
      <c r="G101" s="4"/>
      <c r="H101" s="5"/>
      <c r="I101" s="4"/>
      <c r="J101" s="5"/>
      <c r="K101" s="6"/>
      <c r="L101" s="6"/>
      <c r="M101" s="6"/>
      <c r="N101" s="6"/>
      <c r="XER101" s="17"/>
      <c r="XES101" s="17"/>
      <c r="XET101" s="17"/>
    </row>
    <row r="102" spans="2:14 16372:16374" s="13" customFormat="1" ht="22" customHeight="1">
      <c r="B102" s="4"/>
      <c r="C102" s="4"/>
      <c r="D102" s="5"/>
      <c r="E102" s="5"/>
      <c r="F102" s="4"/>
      <c r="G102" s="4"/>
      <c r="H102" s="5"/>
      <c r="I102" s="4"/>
      <c r="J102" s="5"/>
      <c r="K102" s="6"/>
      <c r="L102" s="6"/>
      <c r="M102" s="6"/>
      <c r="N102" s="6"/>
      <c r="XER102" s="17"/>
      <c r="XES102" s="17"/>
      <c r="XET102" s="17"/>
    </row>
    <row r="103" spans="2:14 16372:16374" s="13" customFormat="1" ht="22" customHeight="1">
      <c r="B103" s="4"/>
      <c r="C103" s="4"/>
      <c r="D103" s="5"/>
      <c r="E103" s="5"/>
      <c r="F103" s="4"/>
      <c r="G103" s="4"/>
      <c r="H103" s="5"/>
      <c r="I103" s="4"/>
      <c r="J103" s="5"/>
      <c r="K103" s="6"/>
      <c r="L103" s="6"/>
      <c r="M103" s="6"/>
      <c r="N103" s="6"/>
      <c r="XER103" s="17"/>
      <c r="XES103" s="17"/>
      <c r="XET103" s="17"/>
    </row>
    <row r="104" spans="2:14 16372:16374" s="13" customFormat="1" ht="22" customHeight="1">
      <c r="B104" s="4"/>
      <c r="C104" s="4"/>
      <c r="D104" s="5"/>
      <c r="E104" s="5"/>
      <c r="F104" s="4"/>
      <c r="G104" s="4"/>
      <c r="H104" s="5"/>
      <c r="I104" s="4"/>
      <c r="J104" s="5"/>
      <c r="K104" s="6"/>
      <c r="L104" s="6"/>
      <c r="M104" s="6"/>
      <c r="N104" s="6"/>
      <c r="XER104" s="17"/>
      <c r="XES104" s="17"/>
      <c r="XET104" s="17"/>
    </row>
    <row r="105" spans="2:14 16372:16374" s="13" customFormat="1" ht="22" customHeight="1">
      <c r="B105" s="4"/>
      <c r="C105" s="4"/>
      <c r="D105" s="5"/>
      <c r="E105" s="5"/>
      <c r="F105" s="4"/>
      <c r="G105" s="4"/>
      <c r="H105" s="5"/>
      <c r="I105" s="4"/>
      <c r="J105" s="5"/>
      <c r="K105" s="6"/>
      <c r="L105" s="6"/>
      <c r="M105" s="6"/>
      <c r="N105" s="6"/>
      <c r="XER105" s="17"/>
      <c r="XES105" s="17"/>
      <c r="XET105" s="17"/>
    </row>
    <row r="106" spans="2:14 16372:16374" s="13" customFormat="1" ht="22" customHeight="1">
      <c r="B106" s="4"/>
      <c r="C106" s="4"/>
      <c r="D106" s="5"/>
      <c r="E106" s="5"/>
      <c r="F106" s="4"/>
      <c r="G106" s="4"/>
      <c r="H106" s="5"/>
      <c r="I106" s="4"/>
      <c r="J106" s="5"/>
      <c r="K106" s="6"/>
      <c r="L106" s="6"/>
      <c r="M106" s="6"/>
      <c r="N106" s="6"/>
      <c r="XER106" s="17"/>
      <c r="XES106" s="17"/>
      <c r="XET106" s="17"/>
    </row>
    <row r="107" spans="2:14 16372:16374" s="13" customFormat="1" ht="22" customHeight="1">
      <c r="B107" s="4"/>
      <c r="C107" s="4"/>
      <c r="D107" s="5"/>
      <c r="E107" s="5"/>
      <c r="F107" s="4"/>
      <c r="G107" s="4"/>
      <c r="H107" s="5"/>
      <c r="I107" s="4"/>
      <c r="J107" s="5"/>
      <c r="K107" s="6"/>
      <c r="L107" s="6"/>
      <c r="M107" s="6"/>
      <c r="N107" s="6"/>
      <c r="XER107" s="17"/>
      <c r="XES107" s="17"/>
      <c r="XET107" s="17"/>
    </row>
    <row r="108" spans="2:14 16372:16374" s="13" customFormat="1" ht="22" customHeight="1">
      <c r="B108" s="4"/>
      <c r="C108" s="4"/>
      <c r="D108" s="5"/>
      <c r="E108" s="5"/>
      <c r="F108" s="4"/>
      <c r="G108" s="4"/>
      <c r="H108" s="5"/>
      <c r="I108" s="4"/>
      <c r="J108" s="5"/>
      <c r="K108" s="6"/>
      <c r="L108" s="6"/>
      <c r="M108" s="6"/>
      <c r="N108" s="6"/>
      <c r="XER108" s="17"/>
      <c r="XES108" s="17"/>
      <c r="XET108" s="17"/>
    </row>
    <row r="109" spans="2:14 16372:16374" s="13" customFormat="1" ht="22" customHeight="1">
      <c r="B109" s="4"/>
      <c r="C109" s="4"/>
      <c r="D109" s="5"/>
      <c r="E109" s="5"/>
      <c r="F109" s="4"/>
      <c r="G109" s="4"/>
      <c r="H109" s="5"/>
      <c r="I109" s="4"/>
      <c r="J109" s="5"/>
      <c r="K109" s="6"/>
      <c r="L109" s="6"/>
      <c r="M109" s="6"/>
      <c r="N109" s="6"/>
      <c r="XER109" s="17"/>
      <c r="XES109" s="17"/>
      <c r="XET109" s="17"/>
    </row>
    <row r="110" spans="2:14 16372:16374" s="13" customFormat="1" ht="22" customHeight="1">
      <c r="B110" s="4"/>
      <c r="C110" s="4"/>
      <c r="D110" s="5"/>
      <c r="E110" s="5"/>
      <c r="F110" s="4"/>
      <c r="G110" s="4"/>
      <c r="H110" s="5"/>
      <c r="I110" s="4"/>
      <c r="J110" s="5"/>
      <c r="K110" s="6"/>
      <c r="L110" s="6"/>
      <c r="M110" s="6"/>
      <c r="N110" s="6"/>
      <c r="XER110" s="17"/>
      <c r="XES110" s="17"/>
      <c r="XET110" s="17"/>
    </row>
    <row r="111" spans="2:14 16372:16374" s="13" customFormat="1" ht="22" customHeight="1">
      <c r="B111" s="4"/>
      <c r="C111" s="4"/>
      <c r="D111" s="5"/>
      <c r="E111" s="5"/>
      <c r="F111" s="4"/>
      <c r="G111" s="4"/>
      <c r="H111" s="5"/>
      <c r="I111" s="4"/>
      <c r="J111" s="5"/>
      <c r="K111" s="6"/>
      <c r="L111" s="6"/>
      <c r="M111" s="6"/>
      <c r="N111" s="6"/>
      <c r="XER111" s="17"/>
      <c r="XES111" s="17"/>
      <c r="XET111" s="17"/>
    </row>
    <row r="112" spans="2:14 16372:16374" s="13" customFormat="1" ht="22" customHeight="1">
      <c r="B112" s="4"/>
      <c r="C112" s="4"/>
      <c r="D112" s="5"/>
      <c r="E112" s="5"/>
      <c r="F112" s="4"/>
      <c r="G112" s="4"/>
      <c r="H112" s="5"/>
      <c r="I112" s="4"/>
      <c r="J112" s="5"/>
      <c r="K112" s="6"/>
      <c r="L112" s="6"/>
      <c r="M112" s="6"/>
      <c r="N112" s="6"/>
      <c r="XER112" s="17"/>
      <c r="XES112" s="17"/>
      <c r="XET112" s="17"/>
    </row>
    <row r="113" spans="2:14 16372:16374" s="13" customFormat="1" ht="22" customHeight="1">
      <c r="B113" s="4"/>
      <c r="C113" s="4"/>
      <c r="D113" s="5"/>
      <c r="E113" s="5"/>
      <c r="F113" s="4"/>
      <c r="G113" s="4"/>
      <c r="H113" s="5"/>
      <c r="I113" s="4"/>
      <c r="J113" s="5"/>
      <c r="K113" s="6"/>
      <c r="L113" s="6"/>
      <c r="M113" s="6"/>
      <c r="N113" s="6"/>
      <c r="XER113" s="17"/>
      <c r="XES113" s="17"/>
      <c r="XET113" s="17"/>
    </row>
    <row r="114" spans="2:14 16372:16374" s="13" customFormat="1" ht="22" customHeight="1">
      <c r="B114" s="4"/>
      <c r="C114" s="4"/>
      <c r="D114" s="5"/>
      <c r="E114" s="5"/>
      <c r="F114" s="4"/>
      <c r="G114" s="4"/>
      <c r="H114" s="5"/>
      <c r="I114" s="4"/>
      <c r="J114" s="5"/>
      <c r="K114" s="6"/>
      <c r="L114" s="6"/>
      <c r="M114" s="6"/>
      <c r="N114" s="6"/>
      <c r="XER114" s="17"/>
      <c r="XES114" s="17"/>
      <c r="XET114" s="17"/>
    </row>
    <row r="115" spans="2:14 16372:16374" s="13" customFormat="1" ht="22" customHeight="1">
      <c r="B115" s="4"/>
      <c r="C115" s="4"/>
      <c r="D115" s="5"/>
      <c r="E115" s="5"/>
      <c r="F115" s="4"/>
      <c r="G115" s="4"/>
      <c r="H115" s="5"/>
      <c r="I115" s="4"/>
      <c r="J115" s="5"/>
      <c r="K115" s="6"/>
      <c r="L115" s="6"/>
      <c r="M115" s="6"/>
      <c r="N115" s="6"/>
      <c r="XER115" s="17"/>
      <c r="XES115" s="17"/>
      <c r="XET115" s="17"/>
    </row>
    <row r="116" spans="2:14 16372:16374" s="13" customFormat="1" ht="22" customHeight="1">
      <c r="B116" s="4"/>
      <c r="C116" s="4"/>
      <c r="D116" s="5"/>
      <c r="E116" s="5"/>
      <c r="F116" s="4"/>
      <c r="G116" s="4"/>
      <c r="H116" s="5"/>
      <c r="I116" s="4"/>
      <c r="J116" s="5"/>
      <c r="K116" s="6"/>
      <c r="L116" s="6"/>
      <c r="M116" s="6"/>
      <c r="N116" s="6"/>
      <c r="XER116" s="17"/>
      <c r="XES116" s="17"/>
      <c r="XET116" s="17"/>
    </row>
    <row r="117" spans="2:14 16372:16374" s="13" customFormat="1" ht="22" customHeight="1">
      <c r="B117" s="4"/>
      <c r="C117" s="4"/>
      <c r="D117" s="5"/>
      <c r="E117" s="5"/>
      <c r="F117" s="4"/>
      <c r="G117" s="4"/>
      <c r="H117" s="5"/>
      <c r="I117" s="4"/>
      <c r="J117" s="5"/>
      <c r="K117" s="6"/>
      <c r="L117" s="6"/>
      <c r="M117" s="6"/>
      <c r="N117" s="6"/>
      <c r="XER117" s="17"/>
      <c r="XES117" s="17"/>
      <c r="XET117" s="17"/>
    </row>
    <row r="118" spans="2:14 16372:16374" s="13" customFormat="1" ht="22" customHeight="1">
      <c r="B118" s="4"/>
      <c r="C118" s="4"/>
      <c r="D118" s="5"/>
      <c r="E118" s="5"/>
      <c r="F118" s="4"/>
      <c r="G118" s="4"/>
      <c r="H118" s="5"/>
      <c r="I118" s="4"/>
      <c r="J118" s="5"/>
      <c r="K118" s="6"/>
      <c r="L118" s="6"/>
      <c r="M118" s="6"/>
      <c r="N118" s="6"/>
      <c r="XER118" s="17"/>
      <c r="XES118" s="17"/>
      <c r="XET118" s="17"/>
    </row>
    <row r="119" spans="2:14 16372:16374" s="13" customFormat="1" ht="22" customHeight="1">
      <c r="B119" s="4"/>
      <c r="C119" s="4"/>
      <c r="D119" s="5"/>
      <c r="E119" s="5"/>
      <c r="F119" s="4"/>
      <c r="G119" s="4"/>
      <c r="H119" s="5"/>
      <c r="I119" s="4"/>
      <c r="J119" s="5"/>
      <c r="K119" s="6"/>
      <c r="L119" s="6"/>
      <c r="M119" s="6"/>
      <c r="N119" s="6"/>
      <c r="XER119" s="17"/>
      <c r="XES119" s="17"/>
      <c r="XET119" s="17"/>
    </row>
    <row r="120" spans="2:14 16372:16374" s="13" customFormat="1" ht="22" customHeight="1">
      <c r="B120" s="4"/>
      <c r="C120" s="4"/>
      <c r="D120" s="5"/>
      <c r="E120" s="5"/>
      <c r="F120" s="4"/>
      <c r="G120" s="4"/>
      <c r="H120" s="5"/>
      <c r="I120" s="4"/>
      <c r="J120" s="5"/>
      <c r="K120" s="6"/>
      <c r="L120" s="6"/>
      <c r="M120" s="6"/>
      <c r="N120" s="6"/>
      <c r="XER120" s="17"/>
      <c r="XES120" s="17"/>
      <c r="XET120" s="17"/>
    </row>
    <row r="121" spans="2:14 16372:16374" s="13" customFormat="1" ht="22" customHeight="1">
      <c r="B121" s="4"/>
      <c r="C121" s="4"/>
      <c r="D121" s="5"/>
      <c r="E121" s="5"/>
      <c r="F121" s="4"/>
      <c r="G121" s="4"/>
      <c r="H121" s="5"/>
      <c r="I121" s="4"/>
      <c r="J121" s="5"/>
      <c r="K121" s="6"/>
      <c r="L121" s="6"/>
      <c r="M121" s="6"/>
      <c r="N121" s="6"/>
      <c r="XER121" s="17"/>
      <c r="XES121" s="17"/>
      <c r="XET121" s="17"/>
    </row>
    <row r="122" spans="2:14 16372:16374" s="13" customFormat="1" ht="22" customHeight="1">
      <c r="B122" s="4"/>
      <c r="C122" s="4"/>
      <c r="D122" s="5"/>
      <c r="E122" s="5"/>
      <c r="F122" s="4"/>
      <c r="G122" s="4"/>
      <c r="H122" s="5"/>
      <c r="I122" s="4"/>
      <c r="J122" s="5"/>
      <c r="K122" s="6"/>
      <c r="L122" s="6"/>
      <c r="M122" s="6"/>
      <c r="N122" s="6"/>
      <c r="XER122" s="17"/>
      <c r="XES122" s="17"/>
      <c r="XET122" s="17"/>
    </row>
    <row r="123" spans="2:14 16372:16374" s="13" customFormat="1" ht="22" customHeight="1">
      <c r="B123" s="4"/>
      <c r="C123" s="4"/>
      <c r="D123" s="5"/>
      <c r="E123" s="5"/>
      <c r="F123" s="4"/>
      <c r="G123" s="4"/>
      <c r="H123" s="5"/>
      <c r="I123" s="4"/>
      <c r="J123" s="5"/>
      <c r="K123" s="6"/>
      <c r="L123" s="6"/>
      <c r="M123" s="6"/>
      <c r="N123" s="6"/>
      <c r="XER123" s="17"/>
      <c r="XES123" s="17"/>
      <c r="XET123" s="17"/>
    </row>
    <row r="124" spans="2:14 16372:16374" s="13" customFormat="1" ht="22" customHeight="1">
      <c r="B124" s="4"/>
      <c r="C124" s="4"/>
      <c r="D124" s="5"/>
      <c r="E124" s="5"/>
      <c r="F124" s="4"/>
      <c r="G124" s="4"/>
      <c r="H124" s="5"/>
      <c r="I124" s="4"/>
      <c r="J124" s="5"/>
      <c r="K124" s="6"/>
      <c r="L124" s="6"/>
      <c r="M124" s="6"/>
      <c r="N124" s="6"/>
      <c r="XER124" s="17"/>
      <c r="XES124" s="17"/>
      <c r="XET124" s="17"/>
    </row>
    <row r="125" spans="2:14 16372:16374" s="13" customFormat="1" ht="22" customHeight="1">
      <c r="B125" s="4"/>
      <c r="C125" s="4"/>
      <c r="D125" s="5"/>
      <c r="E125" s="5"/>
      <c r="F125" s="4"/>
      <c r="G125" s="4"/>
      <c r="H125" s="5"/>
      <c r="I125" s="4"/>
      <c r="J125" s="5"/>
      <c r="K125" s="6"/>
      <c r="L125" s="6"/>
      <c r="M125" s="6"/>
      <c r="N125" s="6"/>
      <c r="XER125" s="17"/>
      <c r="XES125" s="17"/>
      <c r="XET125" s="17"/>
    </row>
    <row r="126" spans="2:14 16372:16374" s="13" customFormat="1" ht="22" customHeight="1">
      <c r="B126" s="4"/>
      <c r="C126" s="4"/>
      <c r="D126" s="5"/>
      <c r="E126" s="5"/>
      <c r="F126" s="4"/>
      <c r="G126" s="4"/>
      <c r="H126" s="5"/>
      <c r="I126" s="4"/>
      <c r="J126" s="5"/>
      <c r="K126" s="6"/>
      <c r="L126" s="6"/>
      <c r="M126" s="6"/>
      <c r="N126" s="6"/>
      <c r="XER126" s="17"/>
      <c r="XES126" s="17"/>
      <c r="XET126" s="17"/>
    </row>
    <row r="127" spans="2:14 16372:16374" s="13" customFormat="1" ht="22" customHeight="1">
      <c r="B127" s="4"/>
      <c r="C127" s="4"/>
      <c r="D127" s="5"/>
      <c r="E127" s="5"/>
      <c r="F127" s="4"/>
      <c r="G127" s="4"/>
      <c r="H127" s="5"/>
      <c r="I127" s="4"/>
      <c r="J127" s="5"/>
      <c r="K127" s="6"/>
      <c r="L127" s="6"/>
      <c r="M127" s="6"/>
      <c r="N127" s="6"/>
      <c r="XER127" s="17"/>
      <c r="XES127" s="17"/>
      <c r="XET127" s="17"/>
    </row>
    <row r="128" spans="2:14 16372:16374" s="13" customFormat="1" ht="22" customHeight="1">
      <c r="B128" s="4"/>
      <c r="C128" s="4"/>
      <c r="D128" s="5"/>
      <c r="E128" s="5"/>
      <c r="F128" s="4"/>
      <c r="G128" s="4"/>
      <c r="H128" s="5"/>
      <c r="I128" s="4"/>
      <c r="J128" s="5"/>
      <c r="K128" s="6"/>
      <c r="L128" s="6"/>
      <c r="M128" s="6"/>
      <c r="N128" s="6"/>
      <c r="XER128" s="17"/>
      <c r="XES128" s="17"/>
      <c r="XET128" s="17"/>
    </row>
    <row r="129" spans="2:14 16372:16374" s="13" customFormat="1" ht="22" customHeight="1">
      <c r="B129" s="4"/>
      <c r="C129" s="4"/>
      <c r="D129" s="5"/>
      <c r="E129" s="5"/>
      <c r="F129" s="4"/>
      <c r="G129" s="4"/>
      <c r="H129" s="5"/>
      <c r="I129" s="4"/>
      <c r="J129" s="5"/>
      <c r="K129" s="6"/>
      <c r="L129" s="6"/>
      <c r="M129" s="6"/>
      <c r="N129" s="6"/>
      <c r="XER129" s="17"/>
      <c r="XES129" s="17"/>
      <c r="XET129" s="17"/>
    </row>
    <row r="130" spans="2:14 16372:16374" s="13" customFormat="1" ht="22" customHeight="1">
      <c r="B130" s="4"/>
      <c r="C130" s="4"/>
      <c r="D130" s="5"/>
      <c r="E130" s="5"/>
      <c r="F130" s="4"/>
      <c r="G130" s="4"/>
      <c r="H130" s="5"/>
      <c r="I130" s="4"/>
      <c r="J130" s="5"/>
      <c r="K130" s="6"/>
      <c r="L130" s="6"/>
      <c r="M130" s="6"/>
      <c r="N130" s="6"/>
      <c r="XER130" s="17"/>
      <c r="XES130" s="17"/>
      <c r="XET130" s="17"/>
    </row>
    <row r="131" spans="2:14 16372:16374" s="13" customFormat="1" ht="22" customHeight="1">
      <c r="B131" s="4"/>
      <c r="C131" s="4"/>
      <c r="D131" s="5"/>
      <c r="E131" s="5"/>
      <c r="F131" s="4"/>
      <c r="G131" s="4"/>
      <c r="H131" s="5"/>
      <c r="I131" s="4"/>
      <c r="J131" s="5"/>
      <c r="K131" s="6"/>
      <c r="L131" s="6"/>
      <c r="M131" s="6"/>
      <c r="N131" s="6"/>
      <c r="XER131" s="17"/>
      <c r="XES131" s="17"/>
      <c r="XET131" s="17"/>
    </row>
    <row r="132" spans="2:14 16372:16374" s="13" customFormat="1" ht="22" customHeight="1">
      <c r="B132" s="4"/>
      <c r="C132" s="4"/>
      <c r="D132" s="5"/>
      <c r="E132" s="5"/>
      <c r="F132" s="4"/>
      <c r="G132" s="4"/>
      <c r="H132" s="5"/>
      <c r="I132" s="4"/>
      <c r="J132" s="5"/>
      <c r="K132" s="6"/>
      <c r="L132" s="6"/>
      <c r="M132" s="6"/>
      <c r="N132" s="6"/>
      <c r="XER132" s="17"/>
      <c r="XES132" s="17"/>
      <c r="XET132" s="17"/>
    </row>
    <row r="133" spans="2:14 16372:16374" s="13" customFormat="1" ht="22" customHeight="1">
      <c r="B133" s="4"/>
      <c r="C133" s="4"/>
      <c r="D133" s="5"/>
      <c r="E133" s="5"/>
      <c r="F133" s="4"/>
      <c r="G133" s="4"/>
      <c r="H133" s="5"/>
      <c r="I133" s="4"/>
      <c r="J133" s="5"/>
      <c r="K133" s="6"/>
      <c r="L133" s="6"/>
      <c r="M133" s="6"/>
      <c r="N133" s="6"/>
      <c r="XER133" s="17"/>
      <c r="XES133" s="17"/>
      <c r="XET133" s="17"/>
    </row>
    <row r="134" spans="2:14 16372:16374" s="13" customFormat="1" ht="22" customHeight="1">
      <c r="B134" s="4"/>
      <c r="C134" s="4"/>
      <c r="D134" s="5"/>
      <c r="E134" s="5"/>
      <c r="F134" s="4"/>
      <c r="G134" s="4"/>
      <c r="H134" s="5"/>
      <c r="I134" s="4"/>
      <c r="J134" s="5"/>
      <c r="K134" s="6"/>
      <c r="L134" s="6"/>
      <c r="M134" s="6"/>
      <c r="N134" s="6"/>
      <c r="XER134" s="17"/>
      <c r="XES134" s="17"/>
      <c r="XET134" s="17"/>
    </row>
    <row r="135" spans="2:14 16372:16374" s="13" customFormat="1" ht="22" customHeight="1">
      <c r="B135" s="4"/>
      <c r="C135" s="4"/>
      <c r="D135" s="5"/>
      <c r="E135" s="5"/>
      <c r="F135" s="4"/>
      <c r="G135" s="4"/>
      <c r="H135" s="5"/>
      <c r="I135" s="4"/>
      <c r="J135" s="5"/>
      <c r="K135" s="6"/>
      <c r="L135" s="6"/>
      <c r="M135" s="6"/>
      <c r="N135" s="6"/>
      <c r="XER135" s="17"/>
      <c r="XES135" s="17"/>
      <c r="XET135" s="17"/>
    </row>
    <row r="136" spans="2:14 16372:16374" s="13" customFormat="1" ht="22" customHeight="1">
      <c r="B136" s="4"/>
      <c r="C136" s="4"/>
      <c r="D136" s="5"/>
      <c r="E136" s="5"/>
      <c r="F136" s="4"/>
      <c r="G136" s="4"/>
      <c r="H136" s="5"/>
      <c r="I136" s="4"/>
      <c r="J136" s="5"/>
      <c r="K136" s="6"/>
      <c r="L136" s="6"/>
      <c r="M136" s="6"/>
      <c r="N136" s="6"/>
      <c r="XER136" s="17"/>
      <c r="XES136" s="17"/>
      <c r="XET136" s="17"/>
    </row>
    <row r="137" spans="2:14 16372:16374" s="13" customFormat="1" ht="22" customHeight="1">
      <c r="B137" s="4"/>
      <c r="C137" s="4"/>
      <c r="D137" s="5"/>
      <c r="E137" s="5"/>
      <c r="F137" s="4"/>
      <c r="G137" s="4"/>
      <c r="H137" s="5"/>
      <c r="I137" s="4"/>
      <c r="J137" s="5"/>
      <c r="K137" s="6"/>
      <c r="L137" s="6"/>
      <c r="M137" s="6"/>
      <c r="N137" s="6"/>
      <c r="XER137" s="17"/>
      <c r="XES137" s="17"/>
      <c r="XET137" s="17"/>
    </row>
    <row r="138" spans="2:14 16372:16374" s="13" customFormat="1" ht="22" customHeight="1">
      <c r="B138" s="4"/>
      <c r="C138" s="4"/>
      <c r="D138" s="5"/>
      <c r="E138" s="5"/>
      <c r="F138" s="4"/>
      <c r="G138" s="4"/>
      <c r="H138" s="5"/>
      <c r="I138" s="4"/>
      <c r="J138" s="5"/>
      <c r="K138" s="6"/>
      <c r="L138" s="6"/>
      <c r="M138" s="6"/>
      <c r="N138" s="6"/>
      <c r="XER138" s="17"/>
      <c r="XES138" s="17"/>
      <c r="XET138" s="17"/>
    </row>
    <row r="139" spans="2:14 16372:16374" s="13" customFormat="1" ht="22" customHeight="1">
      <c r="B139" s="4"/>
      <c r="C139" s="4"/>
      <c r="D139" s="5"/>
      <c r="E139" s="5"/>
      <c r="F139" s="4"/>
      <c r="G139" s="4"/>
      <c r="H139" s="5"/>
      <c r="I139" s="4"/>
      <c r="J139" s="5"/>
      <c r="K139" s="6"/>
      <c r="L139" s="6"/>
      <c r="M139" s="6"/>
      <c r="N139" s="6"/>
      <c r="XER139" s="17"/>
      <c r="XES139" s="17"/>
      <c r="XET139" s="17"/>
    </row>
    <row r="140" spans="2:14 16372:16374" s="13" customFormat="1" ht="22" customHeight="1">
      <c r="B140" s="4"/>
      <c r="C140" s="4"/>
      <c r="D140" s="5"/>
      <c r="E140" s="5"/>
      <c r="F140" s="4"/>
      <c r="G140" s="4"/>
      <c r="H140" s="5"/>
      <c r="I140" s="4"/>
      <c r="J140" s="5"/>
      <c r="K140" s="6"/>
      <c r="L140" s="6"/>
      <c r="M140" s="6"/>
      <c r="N140" s="6"/>
      <c r="XER140" s="17"/>
      <c r="XES140" s="17"/>
      <c r="XET140" s="17"/>
    </row>
    <row r="141" spans="2:14 16372:16374" s="13" customFormat="1" ht="22" customHeight="1">
      <c r="B141" s="4"/>
      <c r="C141" s="4"/>
      <c r="D141" s="5"/>
      <c r="E141" s="5"/>
      <c r="F141" s="4"/>
      <c r="G141" s="4"/>
      <c r="H141" s="5"/>
      <c r="I141" s="4"/>
      <c r="J141" s="5"/>
      <c r="K141" s="6"/>
      <c r="L141" s="6"/>
      <c r="M141" s="6"/>
      <c r="N141" s="6"/>
      <c r="XER141" s="17"/>
      <c r="XES141" s="17"/>
      <c r="XET141" s="17"/>
    </row>
    <row r="142" spans="2:14 16372:16374" s="13" customFormat="1" ht="22" customHeight="1">
      <c r="B142" s="4"/>
      <c r="C142" s="4"/>
      <c r="D142" s="5"/>
      <c r="E142" s="5"/>
      <c r="F142" s="4"/>
      <c r="G142" s="4"/>
      <c r="H142" s="5"/>
      <c r="I142" s="4"/>
      <c r="J142" s="5"/>
      <c r="K142" s="6"/>
      <c r="L142" s="6"/>
      <c r="M142" s="6"/>
      <c r="N142" s="6"/>
      <c r="XER142" s="17"/>
      <c r="XES142" s="17"/>
      <c r="XET142" s="17"/>
    </row>
    <row r="143" spans="2:14 16372:16374" s="13" customFormat="1" ht="22" customHeight="1">
      <c r="B143" s="4"/>
      <c r="C143" s="4"/>
      <c r="D143" s="5"/>
      <c r="E143" s="5"/>
      <c r="F143" s="4"/>
      <c r="G143" s="4"/>
      <c r="H143" s="5"/>
      <c r="I143" s="4"/>
      <c r="J143" s="5"/>
      <c r="K143" s="6"/>
      <c r="L143" s="6"/>
      <c r="M143" s="6"/>
      <c r="N143" s="6"/>
      <c r="XER143" s="17"/>
      <c r="XES143" s="17"/>
      <c r="XET143" s="17"/>
    </row>
    <row r="144" spans="2:14 16372:16374" s="13" customFormat="1" ht="22" customHeight="1">
      <c r="B144" s="4"/>
      <c r="C144" s="4"/>
      <c r="D144" s="5"/>
      <c r="E144" s="5"/>
      <c r="F144" s="4"/>
      <c r="G144" s="4"/>
      <c r="H144" s="5"/>
      <c r="I144" s="4"/>
      <c r="J144" s="5"/>
      <c r="K144" s="6"/>
      <c r="L144" s="6"/>
      <c r="M144" s="6"/>
      <c r="N144" s="6"/>
      <c r="XER144" s="17"/>
      <c r="XES144" s="17"/>
      <c r="XET144" s="17"/>
    </row>
    <row r="145" spans="2:32 16372:16374" s="13" customFormat="1" ht="22" customHeight="1">
      <c r="B145" s="4"/>
      <c r="C145" s="4"/>
      <c r="D145" s="5"/>
      <c r="E145" s="5"/>
      <c r="F145" s="4"/>
      <c r="G145" s="4"/>
      <c r="H145" s="5"/>
      <c r="I145" s="4"/>
      <c r="J145" s="5"/>
      <c r="K145" s="6"/>
      <c r="L145" s="6"/>
      <c r="M145" s="6"/>
      <c r="N145" s="6"/>
      <c r="XER145" s="17"/>
      <c r="XES145" s="17"/>
      <c r="XET145" s="17"/>
    </row>
    <row r="146" spans="2:32 16372:16374" s="13" customFormat="1" ht="22" customHeight="1">
      <c r="B146" s="4"/>
      <c r="C146" s="4"/>
      <c r="D146" s="5"/>
      <c r="E146" s="5"/>
      <c r="F146" s="4"/>
      <c r="G146" s="4"/>
      <c r="H146" s="5"/>
      <c r="I146" s="4"/>
      <c r="J146" s="5"/>
      <c r="K146" s="6"/>
      <c r="L146" s="6"/>
      <c r="M146" s="6"/>
      <c r="N146" s="6"/>
      <c r="XER146" s="17"/>
      <c r="XES146" s="17"/>
      <c r="XET146" s="17"/>
    </row>
    <row r="147" spans="2:32 16372:16374" s="13" customFormat="1" ht="22" customHeight="1">
      <c r="B147" s="4"/>
      <c r="C147" s="4"/>
      <c r="D147" s="5"/>
      <c r="E147" s="5"/>
      <c r="F147" s="4"/>
      <c r="G147" s="4"/>
      <c r="H147" s="5"/>
      <c r="I147" s="4"/>
      <c r="J147" s="5"/>
      <c r="K147" s="6"/>
      <c r="L147" s="6"/>
      <c r="M147" s="6"/>
      <c r="N147" s="6"/>
      <c r="XER147" s="17"/>
      <c r="XES147" s="17"/>
      <c r="XET147" s="17"/>
    </row>
    <row r="148" spans="2:32 16372:16374" s="13" customFormat="1" ht="22" customHeight="1">
      <c r="B148" s="4"/>
      <c r="C148" s="4"/>
      <c r="D148" s="5"/>
      <c r="E148" s="5"/>
      <c r="F148" s="4"/>
      <c r="G148" s="4"/>
      <c r="H148" s="5"/>
      <c r="I148" s="4"/>
      <c r="J148" s="5"/>
      <c r="K148" s="6"/>
      <c r="L148" s="6"/>
      <c r="M148" s="6"/>
      <c r="N148" s="6"/>
      <c r="XER148" s="17"/>
      <c r="XES148" s="17"/>
      <c r="XET148" s="17"/>
    </row>
    <row r="149" spans="2:32 16372:16374" s="13" customFormat="1" ht="22" customHeight="1">
      <c r="B149" s="4"/>
      <c r="C149" s="4"/>
      <c r="D149" s="5"/>
      <c r="E149" s="5"/>
      <c r="F149" s="4"/>
      <c r="G149" s="4"/>
      <c r="H149" s="5"/>
      <c r="I149" s="4"/>
      <c r="J149" s="5"/>
      <c r="K149" s="6"/>
      <c r="L149" s="6"/>
      <c r="M149" s="6"/>
      <c r="N149" s="6"/>
      <c r="XER149" s="17"/>
      <c r="XES149" s="17"/>
      <c r="XET149" s="17"/>
    </row>
    <row r="150" spans="2:32 16372:16374" s="13" customFormat="1" ht="22" customHeight="1">
      <c r="B150" s="4"/>
      <c r="C150" s="4"/>
      <c r="D150" s="5"/>
      <c r="E150" s="5"/>
      <c r="F150" s="4"/>
      <c r="G150" s="4"/>
      <c r="H150" s="5"/>
      <c r="I150" s="4"/>
      <c r="J150" s="5"/>
      <c r="K150" s="6"/>
      <c r="L150" s="6"/>
      <c r="M150" s="6"/>
      <c r="N150" s="6"/>
      <c r="XER150" s="17"/>
      <c r="XES150" s="17"/>
      <c r="XET150" s="17"/>
    </row>
    <row r="151" spans="2:32 16372:16374" s="13" customFormat="1" ht="22" customHeight="1">
      <c r="B151" s="4"/>
      <c r="C151" s="4"/>
      <c r="D151" s="5"/>
      <c r="E151" s="5"/>
      <c r="F151" s="4"/>
      <c r="G151" s="4"/>
      <c r="H151" s="5"/>
      <c r="I151" s="4"/>
      <c r="J151" s="5"/>
      <c r="K151" s="6"/>
      <c r="L151" s="6"/>
      <c r="M151" s="6"/>
      <c r="N151" s="6"/>
      <c r="XER151" s="17"/>
      <c r="XES151" s="17"/>
      <c r="XET151" s="17"/>
    </row>
    <row r="152" spans="2:32 16372:16374" s="13" customFormat="1" ht="22" customHeight="1">
      <c r="B152" s="4"/>
      <c r="C152" s="4"/>
      <c r="D152" s="5"/>
      <c r="E152" s="5"/>
      <c r="F152" s="4"/>
      <c r="G152" s="4"/>
      <c r="H152" s="5"/>
      <c r="I152" s="4"/>
      <c r="J152" s="5"/>
      <c r="K152" s="6"/>
      <c r="L152" s="6"/>
      <c r="M152" s="6"/>
      <c r="N152" s="6"/>
      <c r="XER152" s="17"/>
      <c r="XES152" s="17"/>
      <c r="XET152" s="17"/>
    </row>
    <row r="153" spans="2:32 16372:16374" s="13" customFormat="1" ht="22" customHeight="1">
      <c r="B153" s="4"/>
      <c r="C153" s="4"/>
      <c r="D153" s="5"/>
      <c r="E153" s="5"/>
      <c r="F153" s="4"/>
      <c r="G153" s="4"/>
      <c r="H153" s="5"/>
      <c r="I153" s="4"/>
      <c r="J153" s="5"/>
      <c r="K153" s="6"/>
      <c r="L153" s="6"/>
      <c r="M153" s="6"/>
      <c r="N153" s="6"/>
      <c r="XER153" s="17"/>
      <c r="XES153" s="17"/>
      <c r="XET153" s="17"/>
    </row>
    <row r="154" spans="2:32 16372:16374" s="13" customFormat="1" ht="22" customHeight="1">
      <c r="B154" s="4"/>
      <c r="C154" s="4"/>
      <c r="D154" s="5"/>
      <c r="E154" s="5"/>
      <c r="F154" s="4"/>
      <c r="G154" s="4"/>
      <c r="H154" s="5"/>
      <c r="I154" s="4"/>
      <c r="J154" s="5"/>
      <c r="K154" s="6"/>
      <c r="L154" s="6"/>
      <c r="M154" s="6"/>
      <c r="N154" s="6"/>
      <c r="XER154" s="17"/>
      <c r="XES154" s="17"/>
      <c r="XET154" s="17"/>
    </row>
    <row r="155" spans="2:32 16372:16374" s="13" customFormat="1" ht="22" customHeight="1">
      <c r="B155" s="4"/>
      <c r="C155" s="4"/>
      <c r="D155" s="5"/>
      <c r="E155" s="5"/>
      <c r="F155" s="4"/>
      <c r="G155" s="4"/>
      <c r="H155" s="5"/>
      <c r="I155" s="4"/>
      <c r="J155" s="5"/>
      <c r="K155" s="6"/>
      <c r="L155" s="6"/>
      <c r="M155" s="6"/>
      <c r="N155" s="6"/>
      <c r="XER155" s="17"/>
      <c r="XES155" s="17"/>
      <c r="XET155" s="17"/>
    </row>
    <row r="156" spans="2:32 16372:16374" s="13" customFormat="1" ht="22" customHeight="1">
      <c r="B156" s="4"/>
      <c r="C156" s="4"/>
      <c r="D156" s="5"/>
      <c r="E156" s="5"/>
      <c r="F156" s="4"/>
      <c r="G156" s="4"/>
      <c r="H156" s="5"/>
      <c r="I156" s="4"/>
      <c r="J156" s="5"/>
      <c r="K156" s="6"/>
      <c r="L156" s="6"/>
      <c r="M156" s="6"/>
      <c r="N156" s="6"/>
      <c r="XER156" s="17"/>
      <c r="XES156" s="17"/>
      <c r="XET156" s="17"/>
    </row>
    <row r="157" spans="2:32 16372:16374" s="13" customFormat="1" ht="22" customHeight="1">
      <c r="B157" s="4"/>
      <c r="C157" s="4"/>
      <c r="D157" s="5"/>
      <c r="E157" s="5"/>
      <c r="F157" s="4"/>
      <c r="G157" s="4"/>
      <c r="H157" s="5"/>
      <c r="I157" s="4"/>
      <c r="J157" s="5"/>
      <c r="K157" s="6"/>
      <c r="L157" s="6"/>
      <c r="M157" s="6"/>
      <c r="N157" s="6"/>
      <c r="XER157" s="17"/>
      <c r="XES157" s="17"/>
      <c r="XET157" s="17"/>
    </row>
    <row r="158" spans="2:32 16372:16374" s="13" customFormat="1" ht="22" customHeight="1">
      <c r="B158" s="4"/>
      <c r="C158" s="4"/>
      <c r="D158" s="5"/>
      <c r="E158" s="5"/>
      <c r="F158" s="4"/>
      <c r="G158" s="4"/>
      <c r="H158" s="5"/>
      <c r="I158" s="4"/>
      <c r="J158" s="5"/>
      <c r="K158" s="6"/>
      <c r="L158" s="6"/>
      <c r="M158" s="6"/>
      <c r="N158" s="6"/>
      <c r="XER158" s="17"/>
      <c r="XES158" s="17"/>
      <c r="XET158" s="17"/>
    </row>
    <row r="159" spans="2:32 16372:16374" s="13" customFormat="1" ht="22" customHeight="1" thickBot="1">
      <c r="B159" s="18"/>
      <c r="C159" s="18"/>
      <c r="D159" s="19"/>
      <c r="E159" s="19"/>
      <c r="F159" s="18"/>
      <c r="G159" s="18"/>
      <c r="H159" s="19"/>
      <c r="I159" s="18"/>
      <c r="J159" s="20"/>
      <c r="K159" s="21"/>
      <c r="L159" s="21"/>
      <c r="M159" s="21"/>
      <c r="N159" s="21"/>
      <c r="XER159" s="17"/>
      <c r="XES159" s="17"/>
      <c r="XET159" s="17"/>
    </row>
    <row r="160" spans="2:32 16372:16374" s="17" customFormat="1" ht="22" customHeight="1" thickTop="1">
      <c r="B160" s="4"/>
      <c r="C160" s="4"/>
      <c r="D160" s="5"/>
      <c r="E160" s="5"/>
      <c r="F160" s="4"/>
      <c r="G160" s="5"/>
      <c r="H160" s="5"/>
      <c r="I160" s="5"/>
      <c r="J160" s="22"/>
      <c r="K160" s="6"/>
      <c r="L160" s="6"/>
      <c r="M160" s="6"/>
      <c r="N160" s="6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2:32" s="17" customFormat="1" ht="22" customHeight="1">
      <c r="B161" s="4"/>
      <c r="C161" s="4"/>
      <c r="D161" s="5"/>
      <c r="E161" s="5"/>
      <c r="F161" s="4"/>
      <c r="G161" s="5"/>
      <c r="H161" s="5"/>
      <c r="I161" s="5"/>
      <c r="J161" s="5"/>
      <c r="K161" s="6"/>
      <c r="L161" s="6"/>
      <c r="M161" s="6"/>
      <c r="N161" s="6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2:32" s="17" customFormat="1" ht="22" customHeight="1">
      <c r="B162" s="4"/>
      <c r="C162" s="4"/>
      <c r="D162" s="5"/>
      <c r="E162" s="5"/>
      <c r="F162" s="4"/>
      <c r="G162" s="5"/>
      <c r="H162" s="5"/>
      <c r="I162" s="5"/>
      <c r="J162" s="5"/>
      <c r="K162" s="6"/>
      <c r="L162" s="6"/>
      <c r="M162" s="6"/>
      <c r="N162" s="6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2:32" s="17" customFormat="1" ht="22" customHeight="1">
      <c r="B163" s="4"/>
      <c r="C163" s="4"/>
      <c r="D163" s="5"/>
      <c r="E163" s="5"/>
      <c r="F163" s="4"/>
      <c r="G163" s="5"/>
      <c r="H163" s="5"/>
      <c r="I163" s="5"/>
      <c r="J163" s="5"/>
      <c r="K163" s="6"/>
      <c r="L163" s="6"/>
      <c r="M163" s="6"/>
      <c r="N163" s="6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2:32" s="17" customFormat="1" ht="22" customHeight="1">
      <c r="B164" s="4"/>
      <c r="C164" s="4"/>
      <c r="D164" s="5"/>
      <c r="E164" s="5"/>
      <c r="F164" s="4"/>
      <c r="G164" s="5"/>
      <c r="H164" s="5"/>
      <c r="I164" s="5"/>
      <c r="J164" s="5"/>
      <c r="K164" s="6"/>
      <c r="L164" s="6"/>
      <c r="M164" s="6"/>
      <c r="N164" s="6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2:32" s="17" customFormat="1" ht="22" customHeight="1">
      <c r="B165" s="4"/>
      <c r="C165" s="4"/>
      <c r="D165" s="5"/>
      <c r="E165" s="5"/>
      <c r="F165" s="4"/>
      <c r="G165" s="5"/>
      <c r="H165" s="5"/>
      <c r="I165" s="5"/>
      <c r="J165" s="5"/>
      <c r="K165" s="6"/>
      <c r="L165" s="6"/>
      <c r="M165" s="6"/>
      <c r="N165" s="6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2:32" s="17" customFormat="1" ht="22" customHeight="1">
      <c r="B166" s="4"/>
      <c r="C166" s="4"/>
      <c r="D166" s="5"/>
      <c r="E166" s="5"/>
      <c r="F166" s="4"/>
      <c r="G166" s="5"/>
      <c r="H166" s="5"/>
      <c r="I166" s="5"/>
      <c r="J166" s="5"/>
      <c r="K166" s="6"/>
      <c r="L166" s="6"/>
      <c r="M166" s="6"/>
      <c r="N166" s="6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2:32" s="17" customFormat="1" ht="22" customHeight="1">
      <c r="B167" s="4"/>
      <c r="C167" s="4"/>
      <c r="D167" s="5"/>
      <c r="E167" s="5"/>
      <c r="F167" s="4"/>
      <c r="G167" s="5"/>
      <c r="H167" s="5"/>
      <c r="I167" s="5"/>
      <c r="J167" s="5"/>
      <c r="K167" s="6"/>
      <c r="L167" s="6"/>
      <c r="M167" s="6"/>
      <c r="N167" s="6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2:32" s="17" customFormat="1" ht="22" customHeight="1">
      <c r="B168" s="4"/>
      <c r="C168" s="4"/>
      <c r="D168" s="5"/>
      <c r="E168" s="5"/>
      <c r="F168" s="4"/>
      <c r="G168" s="5"/>
      <c r="H168" s="5"/>
      <c r="I168" s="5"/>
      <c r="J168" s="5"/>
      <c r="K168" s="6"/>
      <c r="L168" s="6"/>
      <c r="M168" s="6"/>
      <c r="N168" s="6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2:32" s="17" customFormat="1" ht="22" customHeight="1">
      <c r="B169" s="4"/>
      <c r="C169" s="4"/>
      <c r="D169" s="5"/>
      <c r="E169" s="5"/>
      <c r="F169" s="4"/>
      <c r="G169" s="5"/>
      <c r="H169" s="5"/>
      <c r="I169" s="5"/>
      <c r="J169" s="5"/>
      <c r="K169" s="6"/>
      <c r="L169" s="6"/>
      <c r="M169" s="6"/>
      <c r="N169" s="6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2:32" s="17" customFormat="1" ht="22" customHeight="1">
      <c r="B170" s="4"/>
      <c r="C170" s="4"/>
      <c r="D170" s="5"/>
      <c r="E170" s="5"/>
      <c r="F170" s="4"/>
      <c r="G170" s="5"/>
      <c r="H170" s="5"/>
      <c r="I170" s="5"/>
      <c r="J170" s="5"/>
      <c r="K170" s="6"/>
      <c r="L170" s="6"/>
      <c r="M170" s="6"/>
      <c r="N170" s="6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2:32" s="17" customFormat="1" ht="22" customHeight="1">
      <c r="B171" s="4"/>
      <c r="C171" s="4"/>
      <c r="D171" s="5"/>
      <c r="E171" s="5"/>
      <c r="F171" s="4"/>
      <c r="G171" s="5"/>
      <c r="H171" s="5"/>
      <c r="I171" s="5"/>
      <c r="J171" s="5"/>
      <c r="K171" s="6"/>
      <c r="L171" s="6"/>
      <c r="M171" s="6"/>
      <c r="N171" s="6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2:32" s="17" customFormat="1" ht="22" customHeight="1">
      <c r="B172" s="4"/>
      <c r="C172" s="4"/>
      <c r="D172" s="5"/>
      <c r="E172" s="5"/>
      <c r="F172" s="4"/>
      <c r="G172" s="5"/>
      <c r="H172" s="5"/>
      <c r="I172" s="5"/>
      <c r="J172" s="5"/>
      <c r="K172" s="6"/>
      <c r="L172" s="6"/>
      <c r="M172" s="6"/>
      <c r="N172" s="6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2:32" s="17" customFormat="1" ht="22" customHeight="1">
      <c r="B173" s="4"/>
      <c r="C173" s="4"/>
      <c r="D173" s="5"/>
      <c r="E173" s="5"/>
      <c r="F173" s="4"/>
      <c r="G173" s="5"/>
      <c r="H173" s="5"/>
      <c r="I173" s="5"/>
      <c r="J173" s="5"/>
      <c r="K173" s="6"/>
      <c r="L173" s="6"/>
      <c r="M173" s="6"/>
      <c r="N173" s="6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2:32" s="17" customFormat="1" ht="22" customHeight="1">
      <c r="B174" s="4"/>
      <c r="C174" s="4"/>
      <c r="D174" s="5"/>
      <c r="E174" s="5"/>
      <c r="F174" s="4"/>
      <c r="G174" s="5"/>
      <c r="H174" s="5"/>
      <c r="I174" s="5"/>
      <c r="J174" s="5"/>
      <c r="K174" s="6"/>
      <c r="L174" s="6"/>
      <c r="M174" s="6"/>
      <c r="N174" s="6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2:32" s="17" customFormat="1" ht="22" customHeight="1">
      <c r="B175" s="4"/>
      <c r="C175" s="4"/>
      <c r="D175" s="5"/>
      <c r="E175" s="5"/>
      <c r="F175" s="4"/>
      <c r="G175" s="5"/>
      <c r="H175" s="5"/>
      <c r="I175" s="5"/>
      <c r="J175" s="5"/>
      <c r="K175" s="6"/>
      <c r="L175" s="6"/>
      <c r="M175" s="6"/>
      <c r="N175" s="6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2:32" s="17" customFormat="1" ht="22" customHeight="1">
      <c r="B176" s="4"/>
      <c r="C176" s="4"/>
      <c r="D176" s="5"/>
      <c r="E176" s="5"/>
      <c r="F176" s="4"/>
      <c r="G176" s="5"/>
      <c r="H176" s="5"/>
      <c r="I176" s="5"/>
      <c r="J176" s="5"/>
      <c r="K176" s="6"/>
      <c r="L176" s="6"/>
      <c r="M176" s="6"/>
      <c r="N176" s="6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2:32" s="17" customFormat="1" ht="22" customHeight="1">
      <c r="B177" s="4"/>
      <c r="C177" s="4"/>
      <c r="D177" s="5"/>
      <c r="E177" s="5"/>
      <c r="F177" s="4"/>
      <c r="G177" s="5"/>
      <c r="H177" s="5"/>
      <c r="I177" s="5"/>
      <c r="J177" s="5"/>
      <c r="K177" s="6"/>
      <c r="L177" s="6"/>
      <c r="M177" s="6"/>
      <c r="N177" s="6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2:32" s="17" customFormat="1" ht="22" customHeight="1">
      <c r="B178" s="4"/>
      <c r="C178" s="4"/>
      <c r="D178" s="5"/>
      <c r="E178" s="5"/>
      <c r="F178" s="4"/>
      <c r="G178" s="5"/>
      <c r="H178" s="5"/>
      <c r="I178" s="5"/>
      <c r="J178" s="5"/>
      <c r="K178" s="6"/>
      <c r="L178" s="6"/>
      <c r="M178" s="6"/>
      <c r="N178" s="6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2:32" s="17" customFormat="1" ht="22" customHeight="1">
      <c r="B179" s="4"/>
      <c r="C179" s="4"/>
      <c r="D179" s="5"/>
      <c r="E179" s="5"/>
      <c r="F179" s="4"/>
      <c r="G179" s="5"/>
      <c r="H179" s="5"/>
      <c r="I179" s="5"/>
      <c r="J179" s="5"/>
      <c r="K179" s="6"/>
      <c r="L179" s="6"/>
      <c r="M179" s="6"/>
      <c r="N179" s="6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2:32" s="17" customFormat="1" ht="22" customHeight="1">
      <c r="B180" s="4"/>
      <c r="C180" s="4"/>
      <c r="D180" s="5"/>
      <c r="E180" s="5"/>
      <c r="F180" s="4"/>
      <c r="G180" s="5"/>
      <c r="H180" s="5"/>
      <c r="I180" s="5"/>
      <c r="J180" s="5"/>
      <c r="K180" s="6"/>
      <c r="L180" s="6"/>
      <c r="M180" s="6"/>
      <c r="N180" s="6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2:32" s="17" customFormat="1" ht="22" customHeight="1">
      <c r="B181" s="4"/>
      <c r="C181" s="4"/>
      <c r="D181" s="5"/>
      <c r="E181" s="5"/>
      <c r="F181" s="4"/>
      <c r="G181" s="5"/>
      <c r="H181" s="5"/>
      <c r="I181" s="5"/>
      <c r="J181" s="5"/>
      <c r="K181" s="6"/>
      <c r="L181" s="6"/>
      <c r="M181" s="6"/>
      <c r="N181" s="6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2:32" s="17" customFormat="1" ht="22" customHeight="1">
      <c r="B182" s="4"/>
      <c r="C182" s="4"/>
      <c r="D182" s="5"/>
      <c r="E182" s="5"/>
      <c r="F182" s="4"/>
      <c r="G182" s="5"/>
      <c r="H182" s="5"/>
      <c r="I182" s="5"/>
      <c r="J182" s="5"/>
      <c r="K182" s="6"/>
      <c r="L182" s="6"/>
      <c r="M182" s="6"/>
      <c r="N182" s="6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2:32" s="17" customFormat="1" ht="22" customHeight="1">
      <c r="B183" s="4"/>
      <c r="C183" s="4"/>
      <c r="D183" s="5"/>
      <c r="E183" s="5"/>
      <c r="F183" s="4"/>
      <c r="G183" s="5"/>
      <c r="H183" s="5"/>
      <c r="I183" s="5"/>
      <c r="J183" s="5"/>
      <c r="K183" s="6"/>
      <c r="L183" s="6"/>
      <c r="M183" s="6"/>
      <c r="N183" s="6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2:32" s="17" customFormat="1" ht="22" customHeight="1">
      <c r="B184" s="4"/>
      <c r="C184" s="4"/>
      <c r="D184" s="5"/>
      <c r="E184" s="5"/>
      <c r="F184" s="4"/>
      <c r="G184" s="5"/>
      <c r="H184" s="5"/>
      <c r="I184" s="5"/>
      <c r="J184" s="5"/>
      <c r="K184" s="6"/>
      <c r="L184" s="6"/>
      <c r="M184" s="6"/>
      <c r="N184" s="6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2:32" s="17" customFormat="1" ht="22" customHeight="1">
      <c r="B185" s="4"/>
      <c r="C185" s="4"/>
      <c r="D185" s="5"/>
      <c r="E185" s="5"/>
      <c r="F185" s="4"/>
      <c r="G185" s="5"/>
      <c r="H185" s="5"/>
      <c r="I185" s="5"/>
      <c r="J185" s="5"/>
      <c r="K185" s="6"/>
      <c r="L185" s="6"/>
      <c r="M185" s="6"/>
      <c r="N185" s="6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2:32" s="17" customFormat="1" ht="22" customHeight="1">
      <c r="B186" s="4"/>
      <c r="C186" s="4"/>
      <c r="D186" s="5"/>
      <c r="E186" s="5"/>
      <c r="F186" s="4"/>
      <c r="G186" s="5"/>
      <c r="H186" s="5"/>
      <c r="I186" s="5"/>
      <c r="J186" s="5"/>
      <c r="K186" s="6"/>
      <c r="L186" s="6"/>
      <c r="M186" s="6"/>
      <c r="N186" s="6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2:32" s="17" customFormat="1" ht="22" customHeight="1">
      <c r="B187" s="4"/>
      <c r="C187" s="4"/>
      <c r="D187" s="5"/>
      <c r="E187" s="5"/>
      <c r="F187" s="4"/>
      <c r="G187" s="5"/>
      <c r="H187" s="5"/>
      <c r="I187" s="5"/>
      <c r="J187" s="5"/>
      <c r="K187" s="6"/>
      <c r="L187" s="6"/>
      <c r="M187" s="6"/>
      <c r="N187" s="6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2:32" s="17" customFormat="1" ht="22" customHeight="1">
      <c r="B188" s="4"/>
      <c r="C188" s="4"/>
      <c r="D188" s="5"/>
      <c r="E188" s="5"/>
      <c r="F188" s="4"/>
      <c r="G188" s="5"/>
      <c r="H188" s="5"/>
      <c r="I188" s="5"/>
      <c r="J188" s="5"/>
      <c r="K188" s="6"/>
      <c r="L188" s="6"/>
      <c r="M188" s="6"/>
      <c r="N188" s="6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2:32" s="17" customFormat="1" ht="22" customHeight="1">
      <c r="B189" s="4"/>
      <c r="C189" s="4"/>
      <c r="D189" s="5"/>
      <c r="E189" s="5"/>
      <c r="F189" s="4"/>
      <c r="G189" s="5"/>
      <c r="H189" s="5"/>
      <c r="I189" s="5"/>
      <c r="J189" s="5"/>
      <c r="K189" s="6"/>
      <c r="L189" s="6"/>
      <c r="M189" s="6"/>
      <c r="N189" s="6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2:32" s="17" customFormat="1" ht="22" customHeight="1">
      <c r="B190" s="4"/>
      <c r="C190" s="4"/>
      <c r="D190" s="5"/>
      <c r="E190" s="5"/>
      <c r="F190" s="4"/>
      <c r="G190" s="5"/>
      <c r="H190" s="5"/>
      <c r="I190" s="5"/>
      <c r="J190" s="5"/>
      <c r="K190" s="6"/>
      <c r="L190" s="6"/>
      <c r="M190" s="6"/>
      <c r="N190" s="6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2:32" s="17" customFormat="1" ht="22" customHeight="1">
      <c r="B191" s="4"/>
      <c r="C191" s="4"/>
      <c r="D191" s="5"/>
      <c r="E191" s="5"/>
      <c r="F191" s="4"/>
      <c r="G191" s="5"/>
      <c r="H191" s="5"/>
      <c r="I191" s="5"/>
      <c r="J191" s="5"/>
      <c r="K191" s="6"/>
      <c r="L191" s="6"/>
      <c r="M191" s="6"/>
      <c r="N191" s="6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2:32" s="17" customFormat="1" ht="22" customHeight="1">
      <c r="B192" s="4"/>
      <c r="C192" s="4"/>
      <c r="D192" s="5"/>
      <c r="E192" s="5"/>
      <c r="F192" s="4"/>
      <c r="G192" s="5"/>
      <c r="H192" s="5"/>
      <c r="I192" s="5"/>
      <c r="J192" s="5"/>
      <c r="K192" s="6"/>
      <c r="L192" s="6"/>
      <c r="M192" s="6"/>
      <c r="N192" s="6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2:32" s="17" customFormat="1" ht="22" customHeight="1">
      <c r="B193" s="4"/>
      <c r="C193" s="4"/>
      <c r="D193" s="5"/>
      <c r="E193" s="5"/>
      <c r="F193" s="4"/>
      <c r="G193" s="5"/>
      <c r="H193" s="5"/>
      <c r="I193" s="5"/>
      <c r="J193" s="5"/>
      <c r="K193" s="6"/>
      <c r="L193" s="6"/>
      <c r="M193" s="6"/>
      <c r="N193" s="6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2:32" s="17" customFormat="1" ht="22" customHeight="1">
      <c r="B194" s="4"/>
      <c r="C194" s="4"/>
      <c r="D194" s="5"/>
      <c r="E194" s="5"/>
      <c r="F194" s="4"/>
      <c r="G194" s="5"/>
      <c r="H194" s="5"/>
      <c r="I194" s="5"/>
      <c r="J194" s="5"/>
      <c r="K194" s="6"/>
      <c r="L194" s="6"/>
      <c r="M194" s="6"/>
      <c r="N194" s="6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2:32" s="17" customFormat="1" ht="22" customHeight="1">
      <c r="B195" s="4"/>
      <c r="C195" s="4"/>
      <c r="D195" s="5"/>
      <c r="E195" s="5"/>
      <c r="F195" s="4"/>
      <c r="G195" s="5"/>
      <c r="H195" s="5"/>
      <c r="I195" s="5"/>
      <c r="J195" s="5"/>
      <c r="K195" s="6"/>
      <c r="L195" s="6"/>
      <c r="M195" s="6"/>
      <c r="N195" s="6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2:32" s="17" customFormat="1" ht="22" customHeight="1">
      <c r="B196" s="4"/>
      <c r="C196" s="4"/>
      <c r="D196" s="5"/>
      <c r="E196" s="5"/>
      <c r="F196" s="4"/>
      <c r="G196" s="5"/>
      <c r="H196" s="5"/>
      <c r="I196" s="5"/>
      <c r="J196" s="5"/>
      <c r="K196" s="6"/>
      <c r="L196" s="6"/>
      <c r="M196" s="6"/>
      <c r="N196" s="6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2:32" s="17" customFormat="1" ht="22" customHeight="1">
      <c r="B197" s="4"/>
      <c r="C197" s="4"/>
      <c r="D197" s="5"/>
      <c r="E197" s="5"/>
      <c r="F197" s="4"/>
      <c r="G197" s="5"/>
      <c r="H197" s="5"/>
      <c r="I197" s="5"/>
      <c r="J197" s="5"/>
      <c r="K197" s="6"/>
      <c r="L197" s="6"/>
      <c r="M197" s="6"/>
      <c r="N197" s="6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2:32" s="17" customFormat="1" ht="22" customHeight="1">
      <c r="B198" s="4"/>
      <c r="C198" s="4"/>
      <c r="D198" s="5"/>
      <c r="E198" s="5"/>
      <c r="F198" s="4"/>
      <c r="G198" s="5"/>
      <c r="H198" s="5"/>
      <c r="I198" s="5"/>
      <c r="J198" s="5"/>
      <c r="K198" s="6"/>
      <c r="L198" s="6"/>
      <c r="M198" s="6"/>
      <c r="N198" s="6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2:32" s="17" customFormat="1" ht="22" customHeight="1">
      <c r="B199" s="4"/>
      <c r="C199" s="4"/>
      <c r="D199" s="5"/>
      <c r="E199" s="5"/>
      <c r="F199" s="4"/>
      <c r="G199" s="5"/>
      <c r="H199" s="5"/>
      <c r="I199" s="5"/>
      <c r="J199" s="5"/>
      <c r="K199" s="6"/>
      <c r="L199" s="6"/>
      <c r="M199" s="6"/>
      <c r="N199" s="6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2:32" s="17" customFormat="1" ht="22" customHeight="1">
      <c r="B200" s="4"/>
      <c r="C200" s="4"/>
      <c r="D200" s="5"/>
      <c r="E200" s="5"/>
      <c r="F200" s="4"/>
      <c r="G200" s="5"/>
      <c r="H200" s="5"/>
      <c r="I200" s="5"/>
      <c r="J200" s="5"/>
      <c r="K200" s="6"/>
      <c r="L200" s="6"/>
      <c r="M200" s="6"/>
      <c r="N200" s="6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2:32" s="17" customFormat="1" ht="22" customHeight="1">
      <c r="B201" s="4"/>
      <c r="C201" s="4"/>
      <c r="D201" s="5"/>
      <c r="E201" s="5"/>
      <c r="F201" s="4"/>
      <c r="G201" s="5"/>
      <c r="H201" s="5"/>
      <c r="I201" s="5"/>
      <c r="J201" s="5"/>
      <c r="K201" s="6"/>
      <c r="L201" s="6"/>
      <c r="M201" s="6"/>
      <c r="N201" s="6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2:32" s="17" customFormat="1" ht="22" customHeight="1">
      <c r="B202" s="4"/>
      <c r="C202" s="4"/>
      <c r="D202" s="5"/>
      <c r="E202" s="5"/>
      <c r="F202" s="4"/>
      <c r="G202" s="5"/>
      <c r="H202" s="5"/>
      <c r="I202" s="5"/>
      <c r="J202" s="5"/>
      <c r="K202" s="6"/>
      <c r="L202" s="6"/>
      <c r="M202" s="6"/>
      <c r="N202" s="6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2:32" s="17" customFormat="1" ht="22" customHeight="1">
      <c r="B203" s="4"/>
      <c r="C203" s="4"/>
      <c r="D203" s="5"/>
      <c r="E203" s="5"/>
      <c r="F203" s="4"/>
      <c r="G203" s="5"/>
      <c r="H203" s="5"/>
      <c r="I203" s="5"/>
      <c r="J203" s="5"/>
      <c r="K203" s="6"/>
      <c r="L203" s="6"/>
      <c r="M203" s="6"/>
      <c r="N203" s="6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2:32" s="17" customFormat="1" ht="22" customHeight="1">
      <c r="B204" s="4"/>
      <c r="C204" s="4"/>
      <c r="D204" s="5"/>
      <c r="E204" s="5"/>
      <c r="F204" s="4"/>
      <c r="G204" s="5"/>
      <c r="H204" s="5"/>
      <c r="I204" s="5"/>
      <c r="J204" s="5"/>
      <c r="K204" s="6"/>
      <c r="L204" s="6"/>
      <c r="M204" s="6"/>
      <c r="N204" s="6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2:32" s="17" customFormat="1" ht="22" customHeight="1">
      <c r="B205" s="4"/>
      <c r="C205" s="4"/>
      <c r="D205" s="5"/>
      <c r="E205" s="5"/>
      <c r="F205" s="4"/>
      <c r="G205" s="5"/>
      <c r="H205" s="5"/>
      <c r="I205" s="5"/>
      <c r="J205" s="5"/>
      <c r="K205" s="6"/>
      <c r="L205" s="6"/>
      <c r="M205" s="6"/>
      <c r="N205" s="6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2:32" s="17" customFormat="1" ht="22" customHeight="1">
      <c r="B206" s="4"/>
      <c r="C206" s="4"/>
      <c r="D206" s="5"/>
      <c r="E206" s="5"/>
      <c r="F206" s="4"/>
      <c r="G206" s="5"/>
      <c r="H206" s="5"/>
      <c r="I206" s="5"/>
      <c r="J206" s="5"/>
      <c r="K206" s="6"/>
      <c r="L206" s="6"/>
      <c r="M206" s="6"/>
      <c r="N206" s="6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2:32" s="17" customFormat="1" ht="22" customHeight="1" thickBot="1">
      <c r="B207" s="23"/>
      <c r="C207" s="23"/>
      <c r="D207" s="20"/>
      <c r="E207" s="20"/>
      <c r="F207" s="4"/>
      <c r="G207" s="20"/>
      <c r="H207" s="5"/>
      <c r="I207" s="20"/>
      <c r="J207" s="20"/>
      <c r="K207" s="24"/>
      <c r="L207" s="24"/>
      <c r="M207" s="24"/>
      <c r="N207" s="24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2:32" ht="22" customHeight="1" thickTop="1">
      <c r="B208" s="25"/>
      <c r="C208" s="25"/>
      <c r="D208" s="22"/>
      <c r="E208" s="22"/>
      <c r="F208" s="22"/>
      <c r="G208" s="22"/>
      <c r="H208" s="5"/>
      <c r="I208" s="22"/>
      <c r="J208" s="22"/>
      <c r="K208" s="26"/>
      <c r="L208" s="26"/>
      <c r="M208" s="26"/>
      <c r="N208" s="26"/>
    </row>
    <row r="209" spans="2:14" ht="22" customHeight="1">
      <c r="B209" s="4"/>
      <c r="C209" s="4"/>
      <c r="D209" s="5"/>
      <c r="E209" s="5"/>
      <c r="F209" s="5"/>
      <c r="G209" s="5"/>
      <c r="H209" s="5"/>
      <c r="I209" s="5"/>
      <c r="J209" s="5"/>
      <c r="K209" s="6"/>
      <c r="L209" s="6"/>
      <c r="M209" s="6"/>
      <c r="N209" s="6"/>
    </row>
    <row r="210" spans="2:14" ht="22" customHeight="1">
      <c r="B210" s="4"/>
      <c r="C210" s="4"/>
      <c r="D210" s="5"/>
      <c r="E210" s="5"/>
      <c r="F210" s="5"/>
      <c r="G210" s="5"/>
      <c r="H210" s="5"/>
      <c r="I210" s="5"/>
      <c r="J210" s="5"/>
      <c r="K210" s="6"/>
      <c r="L210" s="6"/>
      <c r="M210" s="6"/>
      <c r="N210" s="6"/>
    </row>
    <row r="211" spans="2:14" ht="22" customHeight="1">
      <c r="B211" s="4"/>
      <c r="C211" s="4"/>
      <c r="D211" s="5"/>
      <c r="E211" s="5"/>
      <c r="F211" s="5"/>
      <c r="G211" s="5"/>
      <c r="H211" s="5"/>
      <c r="I211" s="5"/>
      <c r="J211" s="5"/>
      <c r="K211" s="6"/>
      <c r="L211" s="6"/>
      <c r="M211" s="6"/>
      <c r="N211" s="6"/>
    </row>
    <row r="212" spans="2:14" ht="22" customHeight="1">
      <c r="B212" s="4"/>
      <c r="C212" s="4"/>
      <c r="D212" s="5"/>
      <c r="E212" s="5"/>
      <c r="F212" s="5"/>
      <c r="G212" s="5"/>
      <c r="H212" s="5"/>
      <c r="I212" s="5"/>
      <c r="J212" s="5"/>
      <c r="K212" s="6"/>
      <c r="L212" s="6"/>
      <c r="M212" s="6"/>
      <c r="N212" s="6"/>
    </row>
    <row r="213" spans="2:14" ht="22" customHeight="1">
      <c r="B213" s="4"/>
      <c r="C213" s="4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6"/>
    </row>
    <row r="214" spans="2:14" ht="22" customHeight="1">
      <c r="B214" s="4"/>
      <c r="C214" s="4"/>
      <c r="D214" s="5"/>
      <c r="E214" s="5"/>
      <c r="F214" s="5"/>
      <c r="G214" s="5"/>
      <c r="H214" s="5"/>
      <c r="I214" s="5"/>
      <c r="J214" s="5"/>
      <c r="K214" s="6"/>
      <c r="L214" s="6"/>
      <c r="M214" s="6"/>
      <c r="N214" s="6"/>
    </row>
    <row r="215" spans="2:14" ht="22" customHeight="1">
      <c r="B215" s="4"/>
      <c r="C215" s="4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6"/>
    </row>
    <row r="216" spans="2:14" ht="22" customHeight="1">
      <c r="B216" s="4"/>
      <c r="C216" s="4"/>
      <c r="D216" s="5"/>
      <c r="E216" s="5"/>
      <c r="F216" s="5"/>
      <c r="G216" s="5"/>
      <c r="H216" s="5"/>
      <c r="I216" s="5"/>
      <c r="J216" s="5"/>
      <c r="K216" s="6"/>
      <c r="L216" s="6"/>
      <c r="M216" s="6"/>
      <c r="N216" s="6"/>
    </row>
    <row r="217" spans="2:14" ht="22" customHeight="1">
      <c r="B217" s="4"/>
      <c r="C217" s="4"/>
      <c r="D217" s="5"/>
      <c r="E217" s="5"/>
      <c r="F217" s="5"/>
      <c r="G217" s="5"/>
      <c r="H217" s="5"/>
      <c r="I217" s="5"/>
      <c r="J217" s="5"/>
      <c r="K217" s="6"/>
      <c r="L217" s="6"/>
      <c r="M217" s="6"/>
      <c r="N217" s="6"/>
    </row>
    <row r="218" spans="2:14" ht="22" customHeight="1">
      <c r="B218" s="4"/>
      <c r="C218" s="4"/>
      <c r="D218" s="5"/>
      <c r="E218" s="5"/>
      <c r="F218" s="5"/>
      <c r="G218" s="5"/>
      <c r="H218" s="5"/>
      <c r="I218" s="5"/>
      <c r="J218" s="5"/>
      <c r="K218" s="6"/>
      <c r="L218" s="6"/>
      <c r="M218" s="6"/>
      <c r="N218" s="6"/>
    </row>
    <row r="219" spans="2:14" ht="22" customHeight="1">
      <c r="B219" s="4"/>
      <c r="C219" s="4"/>
      <c r="D219" s="5"/>
      <c r="E219" s="5"/>
      <c r="F219" s="5"/>
      <c r="G219" s="5"/>
      <c r="H219" s="5"/>
      <c r="I219" s="5"/>
      <c r="J219" s="5"/>
      <c r="K219" s="6"/>
      <c r="L219" s="6"/>
      <c r="M219" s="6"/>
      <c r="N219" s="6"/>
    </row>
    <row r="220" spans="2:14" ht="22" customHeight="1">
      <c r="B220" s="4"/>
      <c r="C220" s="4"/>
      <c r="D220" s="5"/>
      <c r="E220" s="5"/>
      <c r="F220" s="5"/>
      <c r="G220" s="5"/>
      <c r="H220" s="5"/>
      <c r="I220" s="5"/>
      <c r="J220" s="5"/>
      <c r="K220" s="6"/>
      <c r="L220" s="6"/>
      <c r="M220" s="6"/>
      <c r="N220" s="6"/>
    </row>
    <row r="221" spans="2:14" ht="22" customHeight="1">
      <c r="B221" s="4"/>
      <c r="C221" s="4"/>
      <c r="D221" s="5"/>
      <c r="E221" s="5"/>
      <c r="F221" s="5"/>
      <c r="G221" s="5"/>
      <c r="H221" s="5"/>
      <c r="I221" s="5"/>
      <c r="J221" s="5"/>
      <c r="K221" s="6"/>
      <c r="L221" s="6"/>
      <c r="M221" s="6"/>
      <c r="N221" s="6"/>
    </row>
    <row r="222" spans="2:14" ht="22" customHeight="1">
      <c r="B222" s="4"/>
      <c r="C222" s="4"/>
      <c r="D222" s="5"/>
      <c r="E222" s="5"/>
      <c r="F222" s="5"/>
      <c r="G222" s="5"/>
      <c r="H222" s="5"/>
      <c r="I222" s="5"/>
      <c r="J222" s="5"/>
      <c r="K222" s="6"/>
      <c r="L222" s="6"/>
      <c r="M222" s="6"/>
      <c r="N222" s="6"/>
    </row>
    <row r="223" spans="2:14" ht="22" customHeight="1">
      <c r="B223" s="4"/>
      <c r="C223" s="4"/>
      <c r="D223" s="5"/>
      <c r="E223" s="5"/>
      <c r="F223" s="5"/>
      <c r="G223" s="5"/>
      <c r="H223" s="5"/>
      <c r="I223" s="5"/>
      <c r="J223" s="5"/>
      <c r="K223" s="6"/>
      <c r="L223" s="6"/>
      <c r="M223" s="6"/>
      <c r="N223" s="6"/>
    </row>
    <row r="224" spans="2:14" ht="22" customHeight="1">
      <c r="B224" s="4"/>
      <c r="C224" s="4"/>
      <c r="D224" s="5"/>
      <c r="E224" s="5"/>
      <c r="F224" s="5"/>
      <c r="G224" s="5"/>
      <c r="H224" s="5"/>
      <c r="I224" s="5"/>
      <c r="J224" s="5"/>
      <c r="K224" s="6"/>
      <c r="L224" s="6"/>
      <c r="M224" s="6"/>
      <c r="N224" s="6"/>
    </row>
    <row r="225" spans="2:14" ht="22" customHeight="1">
      <c r="B225" s="4"/>
      <c r="C225" s="4"/>
      <c r="D225" s="5"/>
      <c r="E225" s="5"/>
      <c r="F225" s="5"/>
      <c r="G225" s="5"/>
      <c r="H225" s="5"/>
      <c r="I225" s="5"/>
      <c r="J225" s="5"/>
      <c r="K225" s="6"/>
      <c r="L225" s="6"/>
      <c r="M225" s="6"/>
      <c r="N225" s="6"/>
    </row>
    <row r="226" spans="2:14" ht="22" customHeight="1">
      <c r="B226" s="4"/>
      <c r="C226" s="4"/>
      <c r="D226" s="5"/>
      <c r="E226" s="5"/>
      <c r="F226" s="5"/>
      <c r="G226" s="5"/>
      <c r="H226" s="5"/>
      <c r="I226" s="5"/>
      <c r="J226" s="5"/>
      <c r="K226" s="6"/>
      <c r="L226" s="6"/>
      <c r="M226" s="6"/>
      <c r="N226" s="6"/>
    </row>
    <row r="227" spans="2:14" ht="22" customHeight="1">
      <c r="B227" s="4"/>
      <c r="C227" s="4"/>
      <c r="D227" s="5"/>
      <c r="E227" s="5"/>
      <c r="F227" s="5"/>
      <c r="G227" s="5"/>
      <c r="H227" s="5"/>
      <c r="I227" s="5"/>
      <c r="J227" s="5"/>
      <c r="K227" s="6"/>
      <c r="L227" s="6"/>
      <c r="M227" s="6"/>
      <c r="N227" s="6"/>
    </row>
    <row r="228" spans="2:14" ht="22" customHeight="1">
      <c r="B228" s="4"/>
      <c r="C228" s="4"/>
      <c r="D228" s="5"/>
      <c r="E228" s="5"/>
      <c r="F228" s="5"/>
      <c r="G228" s="5"/>
      <c r="H228" s="5"/>
      <c r="I228" s="5"/>
      <c r="J228" s="5"/>
      <c r="K228" s="6"/>
      <c r="L228" s="6"/>
      <c r="M228" s="6"/>
      <c r="N228" s="6"/>
    </row>
    <row r="229" spans="2:14" ht="22" customHeight="1">
      <c r="B229" s="4"/>
      <c r="C229" s="4"/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6"/>
    </row>
    <row r="230" spans="2:14" ht="22" customHeight="1">
      <c r="B230" s="4"/>
      <c r="C230" s="4"/>
      <c r="D230" s="5"/>
      <c r="E230" s="5"/>
      <c r="F230" s="5"/>
      <c r="G230" s="5"/>
      <c r="H230" s="5"/>
      <c r="I230" s="5"/>
      <c r="J230" s="5"/>
      <c r="K230" s="6"/>
      <c r="L230" s="6"/>
      <c r="M230" s="6"/>
      <c r="N230" s="6"/>
    </row>
    <row r="231" spans="2:14" ht="22" customHeight="1">
      <c r="B231" s="4"/>
      <c r="C231" s="4"/>
      <c r="D231" s="5"/>
      <c r="E231" s="5"/>
      <c r="F231" s="5"/>
      <c r="G231" s="5"/>
      <c r="H231" s="5"/>
      <c r="I231" s="5"/>
      <c r="J231" s="5"/>
      <c r="K231" s="6"/>
      <c r="L231" s="6"/>
      <c r="M231" s="6"/>
      <c r="N231" s="6"/>
    </row>
    <row r="232" spans="2:14" ht="22" customHeight="1">
      <c r="B232" s="4"/>
      <c r="C232" s="4"/>
      <c r="D232" s="5"/>
      <c r="E232" s="5"/>
      <c r="F232" s="5"/>
      <c r="G232" s="5"/>
      <c r="H232" s="5"/>
      <c r="I232" s="5"/>
      <c r="J232" s="5"/>
      <c r="K232" s="6"/>
      <c r="L232" s="6"/>
      <c r="M232" s="6"/>
      <c r="N232" s="6"/>
    </row>
    <row r="233" spans="2:14" ht="22" customHeight="1">
      <c r="B233" s="4"/>
      <c r="C233" s="4"/>
      <c r="D233" s="5"/>
      <c r="E233" s="5"/>
      <c r="F233" s="5"/>
      <c r="G233" s="5"/>
      <c r="H233" s="5"/>
      <c r="I233" s="5"/>
      <c r="J233" s="5"/>
      <c r="K233" s="6"/>
      <c r="L233" s="6"/>
      <c r="M233" s="6"/>
      <c r="N233" s="6"/>
    </row>
    <row r="234" spans="2:14" ht="22" customHeight="1">
      <c r="B234" s="4"/>
      <c r="C234" s="4"/>
      <c r="D234" s="5"/>
      <c r="E234" s="5"/>
      <c r="F234" s="5"/>
      <c r="G234" s="5"/>
      <c r="H234" s="5"/>
      <c r="I234" s="5"/>
      <c r="J234" s="5"/>
      <c r="K234" s="6"/>
      <c r="L234" s="6"/>
      <c r="M234" s="6"/>
      <c r="N234" s="6"/>
    </row>
    <row r="235" spans="2:14" ht="22" customHeight="1">
      <c r="B235" s="4"/>
      <c r="C235" s="4"/>
      <c r="D235" s="5"/>
      <c r="E235" s="5"/>
      <c r="F235" s="5"/>
      <c r="G235" s="5"/>
      <c r="H235" s="5"/>
      <c r="I235" s="5"/>
      <c r="J235" s="5"/>
      <c r="K235" s="6"/>
      <c r="L235" s="6"/>
      <c r="M235" s="6"/>
      <c r="N235" s="6"/>
    </row>
    <row r="236" spans="2:14" ht="22" customHeight="1">
      <c r="B236" s="4"/>
      <c r="C236" s="4"/>
      <c r="D236" s="5"/>
      <c r="E236" s="5"/>
      <c r="F236" s="5"/>
      <c r="G236" s="5"/>
      <c r="H236" s="5"/>
      <c r="I236" s="5"/>
      <c r="J236" s="5"/>
      <c r="K236" s="6"/>
      <c r="L236" s="6"/>
      <c r="M236" s="6"/>
      <c r="N236" s="6"/>
    </row>
    <row r="237" spans="2:14" ht="22" customHeight="1">
      <c r="B237" s="4"/>
      <c r="C237" s="4"/>
      <c r="D237" s="5"/>
      <c r="E237" s="5"/>
      <c r="F237" s="5"/>
      <c r="G237" s="5"/>
      <c r="H237" s="5"/>
      <c r="I237" s="5"/>
      <c r="J237" s="5"/>
      <c r="K237" s="6"/>
      <c r="L237" s="6"/>
      <c r="M237" s="6"/>
      <c r="N237" s="6"/>
    </row>
    <row r="238" spans="2:14" ht="22" customHeight="1">
      <c r="B238" s="4"/>
      <c r="C238" s="4"/>
      <c r="D238" s="5"/>
      <c r="E238" s="5"/>
      <c r="F238" s="5"/>
      <c r="G238" s="5"/>
      <c r="H238" s="5"/>
      <c r="I238" s="5"/>
      <c r="J238" s="5"/>
      <c r="K238" s="6"/>
      <c r="L238" s="6"/>
      <c r="M238" s="6"/>
      <c r="N238" s="6"/>
    </row>
    <row r="239" spans="2:14" ht="22" customHeight="1">
      <c r="B239" s="4"/>
      <c r="C239" s="4"/>
      <c r="D239" s="5"/>
      <c r="E239" s="5"/>
      <c r="F239" s="5"/>
      <c r="G239" s="5"/>
      <c r="H239" s="5"/>
      <c r="I239" s="5"/>
      <c r="J239" s="5"/>
      <c r="K239" s="6"/>
      <c r="L239" s="6"/>
      <c r="M239" s="6"/>
      <c r="N239" s="6"/>
    </row>
    <row r="240" spans="2:14" ht="22" customHeight="1">
      <c r="B240" s="4"/>
      <c r="C240" s="4"/>
      <c r="D240" s="5"/>
      <c r="E240" s="5"/>
      <c r="F240" s="5"/>
      <c r="G240" s="5"/>
      <c r="H240" s="5"/>
      <c r="I240" s="5"/>
      <c r="J240" s="5"/>
      <c r="K240" s="6"/>
      <c r="L240" s="6"/>
      <c r="M240" s="6"/>
      <c r="N240" s="6"/>
    </row>
    <row r="241" spans="2:14" ht="22" customHeight="1">
      <c r="B241" s="4"/>
      <c r="C241" s="4"/>
      <c r="D241" s="5"/>
      <c r="E241" s="5"/>
      <c r="F241" s="5"/>
      <c r="G241" s="5"/>
      <c r="H241" s="5"/>
      <c r="I241" s="5"/>
      <c r="J241" s="5"/>
      <c r="K241" s="6"/>
      <c r="L241" s="6"/>
      <c r="M241" s="6"/>
      <c r="N241" s="6"/>
    </row>
    <row r="242" spans="2:14" ht="22" customHeight="1">
      <c r="B242" s="4"/>
      <c r="C242" s="4"/>
      <c r="D242" s="5"/>
      <c r="E242" s="5"/>
      <c r="F242" s="5"/>
      <c r="G242" s="5"/>
      <c r="H242" s="5"/>
      <c r="I242" s="5"/>
      <c r="J242" s="5"/>
      <c r="K242" s="6"/>
      <c r="L242" s="6"/>
      <c r="M242" s="6"/>
      <c r="N242" s="6"/>
    </row>
    <row r="243" spans="2:14" ht="22" customHeight="1">
      <c r="B243" s="4"/>
      <c r="C243" s="4"/>
      <c r="D243" s="5"/>
      <c r="E243" s="5"/>
      <c r="F243" s="5"/>
      <c r="G243" s="5"/>
      <c r="H243" s="5"/>
      <c r="I243" s="5"/>
      <c r="J243" s="5"/>
      <c r="K243" s="6"/>
      <c r="L243" s="6"/>
      <c r="M243" s="6"/>
      <c r="N243" s="6"/>
    </row>
    <row r="244" spans="2:14" ht="22" customHeight="1">
      <c r="B244" s="4"/>
      <c r="C244" s="4"/>
      <c r="D244" s="5"/>
      <c r="E244" s="5"/>
      <c r="F244" s="5"/>
      <c r="G244" s="5"/>
      <c r="H244" s="5"/>
      <c r="I244" s="5"/>
      <c r="J244" s="5"/>
      <c r="K244" s="6"/>
      <c r="L244" s="6"/>
      <c r="M244" s="6"/>
      <c r="N244" s="6"/>
    </row>
    <row r="245" spans="2:14" ht="22" customHeight="1">
      <c r="B245" s="4"/>
      <c r="C245" s="4"/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6"/>
    </row>
    <row r="246" spans="2:14" ht="22" customHeight="1">
      <c r="B246" s="4"/>
      <c r="C246" s="4"/>
      <c r="D246" s="5"/>
      <c r="E246" s="5"/>
      <c r="F246" s="5"/>
      <c r="G246" s="5"/>
      <c r="H246" s="5"/>
      <c r="I246" s="5"/>
      <c r="J246" s="5"/>
      <c r="K246" s="6"/>
      <c r="L246" s="6"/>
      <c r="M246" s="6"/>
      <c r="N246" s="6"/>
    </row>
    <row r="247" spans="2:14" ht="22" customHeight="1" thickBot="1">
      <c r="B247" s="18"/>
      <c r="C247" s="18"/>
      <c r="D247" s="5"/>
      <c r="E247" s="20"/>
      <c r="F247" s="19"/>
      <c r="G247" s="5"/>
      <c r="H247" s="5"/>
      <c r="I247" s="19"/>
      <c r="J247" s="19"/>
      <c r="K247" s="21"/>
      <c r="L247" s="21"/>
      <c r="M247" s="21"/>
      <c r="N247" s="21"/>
    </row>
    <row r="248" spans="2:14" ht="22" customHeight="1" thickTop="1">
      <c r="B248" s="63"/>
      <c r="C248" s="63"/>
      <c r="D248" s="5"/>
      <c r="E248" s="5"/>
      <c r="F248" s="5"/>
      <c r="G248" s="5"/>
      <c r="H248" s="5"/>
      <c r="I248" s="5"/>
      <c r="J248" s="5"/>
      <c r="K248" s="6"/>
      <c r="L248" s="6"/>
      <c r="M248" s="6"/>
      <c r="N248" s="6"/>
    </row>
    <row r="249" spans="2:14" ht="22" customHeight="1">
      <c r="B249" s="63"/>
      <c r="C249" s="63"/>
      <c r="D249" s="5"/>
      <c r="E249" s="5"/>
      <c r="F249" s="5"/>
      <c r="G249" s="5"/>
      <c r="H249" s="5"/>
      <c r="I249" s="5"/>
      <c r="J249" s="5"/>
      <c r="K249" s="6"/>
      <c r="L249" s="6"/>
      <c r="M249" s="6"/>
      <c r="N249" s="6"/>
    </row>
    <row r="250" spans="2:14" ht="22" customHeight="1">
      <c r="B250" s="63"/>
      <c r="C250" s="63"/>
      <c r="D250" s="5"/>
      <c r="E250" s="5"/>
      <c r="F250" s="5"/>
      <c r="G250" s="5"/>
      <c r="H250" s="5"/>
      <c r="I250" s="5"/>
      <c r="J250" s="5"/>
      <c r="K250" s="6"/>
      <c r="L250" s="6"/>
      <c r="M250" s="6"/>
      <c r="N250" s="6"/>
    </row>
    <row r="251" spans="2:14" ht="22" customHeight="1">
      <c r="B251" s="63"/>
      <c r="C251" s="63"/>
      <c r="D251" s="5"/>
      <c r="E251" s="5"/>
      <c r="F251" s="5"/>
      <c r="G251" s="5"/>
      <c r="H251" s="5"/>
      <c r="I251" s="5"/>
      <c r="J251" s="5"/>
      <c r="K251" s="6"/>
      <c r="L251" s="6"/>
      <c r="M251" s="6"/>
      <c r="N251" s="6"/>
    </row>
    <row r="252" spans="2:14" ht="22" customHeight="1">
      <c r="B252" s="63"/>
      <c r="C252" s="63"/>
      <c r="D252" s="5"/>
      <c r="E252" s="5"/>
      <c r="F252" s="5"/>
      <c r="G252" s="5"/>
      <c r="H252" s="5"/>
      <c r="I252" s="5"/>
      <c r="J252" s="5"/>
      <c r="K252" s="6"/>
      <c r="L252" s="6"/>
      <c r="M252" s="6"/>
      <c r="N252" s="6"/>
    </row>
    <row r="253" spans="2:14" ht="22" customHeight="1">
      <c r="B253" s="63"/>
      <c r="C253" s="63"/>
      <c r="D253" s="5"/>
      <c r="E253" s="5"/>
      <c r="F253" s="5"/>
      <c r="G253" s="5"/>
      <c r="H253" s="5"/>
      <c r="I253" s="5"/>
      <c r="J253" s="5"/>
      <c r="K253" s="6"/>
      <c r="L253" s="6"/>
      <c r="M253" s="6"/>
      <c r="N253" s="6"/>
    </row>
    <row r="254" spans="2:14" ht="22" customHeight="1">
      <c r="B254" s="63"/>
      <c r="C254" s="63"/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6"/>
    </row>
    <row r="255" spans="2:14" ht="22" customHeight="1">
      <c r="B255" s="63"/>
      <c r="C255" s="63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6"/>
    </row>
    <row r="256" spans="2:14" ht="22" customHeight="1">
      <c r="B256" s="63"/>
      <c r="C256" s="63"/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6"/>
    </row>
    <row r="257" spans="2:14" ht="22" customHeight="1">
      <c r="B257" s="63"/>
      <c r="C257" s="63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6"/>
    </row>
    <row r="258" spans="2:14" ht="22" customHeight="1">
      <c r="B258" s="63"/>
      <c r="C258" s="63"/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6"/>
    </row>
    <row r="259" spans="2:14" ht="22" customHeight="1">
      <c r="B259" s="63"/>
      <c r="C259" s="63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6"/>
    </row>
    <row r="260" spans="2:14" ht="22" customHeight="1">
      <c r="B260" s="63"/>
      <c r="C260" s="63"/>
      <c r="D260" s="5"/>
      <c r="E260" s="5"/>
      <c r="F260" s="5"/>
      <c r="G260" s="5"/>
      <c r="H260" s="5"/>
      <c r="I260" s="5"/>
      <c r="J260" s="5"/>
      <c r="K260" s="6"/>
      <c r="L260" s="6"/>
      <c r="M260" s="6"/>
      <c r="N260" s="6"/>
    </row>
    <row r="261" spans="2:14" ht="22" customHeight="1">
      <c r="B261" s="63"/>
      <c r="C261" s="63"/>
      <c r="D261" s="5"/>
      <c r="E261" s="5"/>
      <c r="F261" s="5"/>
      <c r="G261" s="5"/>
      <c r="H261" s="5"/>
      <c r="I261" s="5"/>
      <c r="J261" s="5"/>
      <c r="K261" s="6"/>
      <c r="L261" s="6"/>
      <c r="M261" s="6"/>
      <c r="N261" s="6"/>
    </row>
    <row r="262" spans="2:14" ht="22" customHeight="1">
      <c r="B262" s="63"/>
      <c r="C262" s="63"/>
      <c r="D262" s="5"/>
      <c r="E262" s="5"/>
      <c r="F262" s="5"/>
      <c r="G262" s="5"/>
      <c r="H262" s="5"/>
      <c r="I262" s="5"/>
      <c r="J262" s="5"/>
      <c r="K262" s="6"/>
      <c r="L262" s="6"/>
      <c r="M262" s="6"/>
      <c r="N262" s="6"/>
    </row>
    <row r="263" spans="2:14" ht="22" customHeight="1">
      <c r="B263" s="63"/>
      <c r="C263" s="63"/>
      <c r="D263" s="5"/>
      <c r="E263" s="5"/>
      <c r="F263" s="5"/>
      <c r="G263" s="5"/>
      <c r="H263" s="5"/>
      <c r="I263" s="5"/>
      <c r="J263" s="5"/>
      <c r="K263" s="6"/>
      <c r="L263" s="6"/>
      <c r="M263" s="6"/>
      <c r="N263" s="6"/>
    </row>
    <row r="264" spans="2:14" ht="22" customHeight="1">
      <c r="B264" s="63"/>
      <c r="C264" s="63"/>
      <c r="D264" s="5"/>
      <c r="E264" s="5"/>
      <c r="F264" s="5"/>
      <c r="G264" s="5"/>
      <c r="H264" s="5"/>
      <c r="I264" s="5"/>
      <c r="J264" s="5"/>
      <c r="K264" s="6"/>
      <c r="L264" s="6"/>
      <c r="M264" s="6"/>
      <c r="N264" s="6"/>
    </row>
    <row r="265" spans="2:14" ht="22" customHeight="1">
      <c r="B265" s="63"/>
      <c r="C265" s="63"/>
      <c r="D265" s="5"/>
      <c r="E265" s="5"/>
      <c r="F265" s="5"/>
      <c r="G265" s="5"/>
      <c r="H265" s="5"/>
      <c r="I265" s="5"/>
      <c r="J265" s="5"/>
      <c r="K265" s="6"/>
      <c r="L265" s="6"/>
      <c r="M265" s="6"/>
      <c r="N265" s="6"/>
    </row>
    <row r="266" spans="2:14" ht="22" customHeight="1">
      <c r="B266" s="63"/>
      <c r="C266" s="63"/>
      <c r="D266" s="5"/>
      <c r="E266" s="5"/>
      <c r="F266" s="5"/>
      <c r="G266" s="5"/>
      <c r="H266" s="5"/>
      <c r="I266" s="5"/>
      <c r="J266" s="5"/>
      <c r="K266" s="6"/>
      <c r="L266" s="6"/>
      <c r="M266" s="6"/>
      <c r="N266" s="6"/>
    </row>
    <row r="267" spans="2:14" ht="22" customHeight="1">
      <c r="B267" s="63"/>
      <c r="C267" s="63"/>
      <c r="D267" s="5"/>
      <c r="E267" s="5"/>
      <c r="F267" s="5"/>
      <c r="G267" s="5"/>
      <c r="H267" s="5"/>
      <c r="I267" s="5"/>
      <c r="J267" s="5"/>
      <c r="K267" s="6"/>
      <c r="L267" s="6"/>
      <c r="M267" s="6"/>
      <c r="N267" s="6"/>
    </row>
    <row r="268" spans="2:14" ht="22" customHeight="1">
      <c r="B268" s="63"/>
      <c r="C268" s="63"/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6"/>
    </row>
    <row r="269" spans="2:14" ht="22" customHeight="1">
      <c r="B269" s="63"/>
      <c r="C269" s="63"/>
      <c r="D269" s="5"/>
      <c r="E269" s="5"/>
      <c r="F269" s="5"/>
      <c r="G269" s="5"/>
      <c r="H269" s="5"/>
      <c r="I269" s="5"/>
      <c r="J269" s="5"/>
      <c r="K269" s="6"/>
      <c r="L269" s="6"/>
      <c r="M269" s="6"/>
      <c r="N269" s="6"/>
    </row>
    <row r="270" spans="2:14" ht="22" customHeight="1">
      <c r="B270" s="63"/>
      <c r="C270" s="63"/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6"/>
    </row>
    <row r="271" spans="2:14" ht="22" customHeight="1">
      <c r="B271" s="63"/>
      <c r="C271" s="63"/>
      <c r="D271" s="5"/>
      <c r="E271" s="5"/>
      <c r="F271" s="5"/>
      <c r="G271" s="5"/>
      <c r="H271" s="5"/>
      <c r="I271" s="5"/>
      <c r="J271" s="5"/>
      <c r="K271" s="6"/>
      <c r="L271" s="6"/>
      <c r="M271" s="6"/>
      <c r="N271" s="6"/>
    </row>
    <row r="272" spans="2:14" ht="22" customHeight="1">
      <c r="B272" s="63"/>
      <c r="C272" s="63"/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6"/>
    </row>
    <row r="273" spans="2:14" ht="22" customHeight="1">
      <c r="B273" s="63"/>
      <c r="C273" s="63"/>
      <c r="D273" s="5"/>
      <c r="E273" s="5"/>
      <c r="F273" s="5"/>
      <c r="G273" s="5"/>
      <c r="H273" s="5"/>
      <c r="I273" s="5"/>
      <c r="J273" s="5"/>
      <c r="K273" s="6"/>
      <c r="L273" s="6"/>
      <c r="M273" s="6"/>
      <c r="N273" s="6"/>
    </row>
    <row r="274" spans="2:14" ht="22" customHeight="1">
      <c r="B274" s="63"/>
      <c r="C274" s="63"/>
      <c r="D274" s="5"/>
      <c r="E274" s="5"/>
      <c r="F274" s="5"/>
      <c r="G274" s="5"/>
      <c r="H274" s="5"/>
      <c r="I274" s="5"/>
      <c r="J274" s="5"/>
      <c r="K274" s="6"/>
      <c r="L274" s="6"/>
      <c r="M274" s="6"/>
      <c r="N274" s="6"/>
    </row>
    <row r="275" spans="2:14" ht="22" customHeight="1">
      <c r="B275" s="63"/>
      <c r="C275" s="63"/>
      <c r="D275" s="5"/>
      <c r="E275" s="5"/>
      <c r="F275" s="5"/>
      <c r="G275" s="5"/>
      <c r="H275" s="5"/>
      <c r="I275" s="5"/>
      <c r="J275" s="5"/>
      <c r="K275" s="6"/>
      <c r="L275" s="6"/>
      <c r="M275" s="6"/>
      <c r="N275" s="6"/>
    </row>
    <row r="276" spans="2:14" ht="22" customHeight="1">
      <c r="B276" s="63"/>
      <c r="C276" s="63"/>
      <c r="D276" s="5"/>
      <c r="E276" s="5"/>
      <c r="F276" s="5"/>
      <c r="G276" s="5"/>
      <c r="H276" s="5"/>
      <c r="I276" s="5"/>
      <c r="J276" s="5"/>
      <c r="K276" s="6"/>
      <c r="L276" s="6"/>
      <c r="M276" s="6"/>
      <c r="N276" s="6"/>
    </row>
    <row r="277" spans="2:14" ht="22" customHeight="1">
      <c r="B277" s="63"/>
      <c r="C277" s="63"/>
      <c r="D277" s="5"/>
      <c r="E277" s="5"/>
      <c r="F277" s="5"/>
      <c r="G277" s="5"/>
      <c r="H277" s="5"/>
      <c r="I277" s="5"/>
      <c r="J277" s="5"/>
      <c r="K277" s="6"/>
      <c r="L277" s="6"/>
      <c r="M277" s="6"/>
      <c r="N277" s="6"/>
    </row>
    <row r="278" spans="2:14" ht="22" customHeight="1">
      <c r="B278" s="63"/>
      <c r="C278" s="63"/>
      <c r="D278" s="5"/>
      <c r="E278" s="5"/>
      <c r="F278" s="5"/>
      <c r="G278" s="5"/>
      <c r="H278" s="5"/>
      <c r="I278" s="5"/>
      <c r="J278" s="5"/>
      <c r="K278" s="6"/>
      <c r="L278" s="6"/>
      <c r="M278" s="6"/>
      <c r="N278" s="6"/>
    </row>
    <row r="279" spans="2:14" ht="22" customHeight="1">
      <c r="B279" s="63"/>
      <c r="C279" s="63"/>
      <c r="D279" s="5"/>
      <c r="E279" s="5"/>
      <c r="F279" s="5"/>
      <c r="G279" s="5"/>
      <c r="H279" s="5"/>
      <c r="I279" s="5"/>
      <c r="J279" s="5"/>
      <c r="K279" s="6"/>
      <c r="L279" s="6"/>
      <c r="M279" s="6"/>
      <c r="N279" s="6"/>
    </row>
    <row r="280" spans="2:14" ht="22" customHeight="1">
      <c r="B280" s="63"/>
      <c r="C280" s="63"/>
      <c r="D280" s="5"/>
      <c r="E280" s="5"/>
      <c r="F280" s="5"/>
      <c r="G280" s="5"/>
      <c r="H280" s="5"/>
      <c r="I280" s="5"/>
      <c r="J280" s="5"/>
      <c r="K280" s="6"/>
      <c r="L280" s="6"/>
      <c r="M280" s="6"/>
      <c r="N280" s="6"/>
    </row>
    <row r="281" spans="2:14" ht="22" customHeight="1">
      <c r="B281" s="63"/>
      <c r="C281" s="63"/>
      <c r="D281" s="5"/>
      <c r="E281" s="5"/>
      <c r="F281" s="5"/>
      <c r="G281" s="5"/>
      <c r="H281" s="5"/>
      <c r="I281" s="5"/>
      <c r="J281" s="5"/>
      <c r="K281" s="6"/>
      <c r="L281" s="6"/>
      <c r="M281" s="6"/>
      <c r="N281" s="6"/>
    </row>
    <row r="282" spans="2:14" ht="22" customHeight="1">
      <c r="B282" s="63"/>
      <c r="C282" s="63"/>
      <c r="D282" s="5"/>
      <c r="E282" s="5"/>
      <c r="F282" s="5"/>
      <c r="G282" s="5"/>
      <c r="H282" s="5"/>
      <c r="I282" s="5"/>
      <c r="J282" s="5"/>
      <c r="K282" s="6"/>
      <c r="L282" s="6"/>
      <c r="M282" s="6"/>
      <c r="N282" s="6"/>
    </row>
    <row r="283" spans="2:14" ht="22" customHeight="1">
      <c r="B283" s="63"/>
      <c r="C283" s="63"/>
      <c r="D283" s="5"/>
      <c r="E283" s="5"/>
      <c r="F283" s="5"/>
      <c r="G283" s="5"/>
      <c r="H283" s="5"/>
      <c r="I283" s="5"/>
      <c r="J283" s="5"/>
      <c r="K283" s="6"/>
      <c r="L283" s="6"/>
      <c r="M283" s="6"/>
      <c r="N283" s="6"/>
    </row>
    <row r="284" spans="2:14" ht="22" customHeight="1">
      <c r="B284" s="63"/>
      <c r="C284" s="63"/>
      <c r="D284" s="5"/>
      <c r="E284" s="5"/>
      <c r="F284" s="5"/>
      <c r="G284" s="5"/>
      <c r="H284" s="5"/>
      <c r="I284" s="5"/>
      <c r="J284" s="5"/>
      <c r="K284" s="6"/>
      <c r="L284" s="6"/>
      <c r="M284" s="6"/>
      <c r="N284" s="6"/>
    </row>
    <row r="285" spans="2:14" ht="22" customHeight="1">
      <c r="B285" s="63"/>
      <c r="C285" s="63"/>
      <c r="D285" s="5"/>
      <c r="E285" s="5"/>
      <c r="F285" s="5"/>
      <c r="G285" s="5"/>
      <c r="H285" s="5"/>
      <c r="I285" s="5"/>
      <c r="J285" s="5"/>
      <c r="K285" s="6"/>
      <c r="L285" s="6"/>
      <c r="M285" s="6"/>
      <c r="N285" s="6"/>
    </row>
    <row r="286" spans="2:14" ht="22" customHeight="1">
      <c r="B286" s="63"/>
      <c r="C286" s="63"/>
      <c r="D286" s="5"/>
      <c r="E286" s="5"/>
      <c r="F286" s="5"/>
      <c r="G286" s="5"/>
      <c r="H286" s="5"/>
      <c r="I286" s="5"/>
      <c r="J286" s="5"/>
      <c r="K286" s="6"/>
      <c r="L286" s="6"/>
      <c r="M286" s="6"/>
      <c r="N286" s="6"/>
    </row>
    <row r="287" spans="2:14" ht="22" customHeight="1">
      <c r="B287" s="63"/>
      <c r="C287" s="63"/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6"/>
    </row>
    <row r="288" spans="2:14" ht="22" customHeight="1">
      <c r="B288" s="63"/>
      <c r="C288" s="63"/>
      <c r="D288" s="5"/>
      <c r="E288" s="5"/>
      <c r="F288" s="5"/>
      <c r="G288" s="5"/>
      <c r="H288" s="5"/>
      <c r="I288" s="5"/>
      <c r="J288" s="5"/>
      <c r="K288" s="6"/>
      <c r="L288" s="6"/>
      <c r="M288" s="6"/>
      <c r="N288" s="6"/>
    </row>
    <row r="289" spans="2:14" ht="22" customHeight="1">
      <c r="B289" s="63"/>
      <c r="C289" s="63"/>
      <c r="D289" s="5"/>
      <c r="E289" s="5"/>
      <c r="F289" s="5"/>
      <c r="G289" s="5"/>
      <c r="H289" s="5"/>
      <c r="I289" s="5"/>
      <c r="J289" s="5"/>
      <c r="K289" s="6"/>
      <c r="L289" s="6"/>
      <c r="M289" s="6"/>
      <c r="N289" s="6"/>
    </row>
    <row r="290" spans="2:14" ht="22" customHeight="1">
      <c r="B290" s="63"/>
      <c r="C290" s="63"/>
      <c r="D290" s="5"/>
      <c r="E290" s="5"/>
      <c r="F290" s="5"/>
      <c r="G290" s="5"/>
      <c r="H290" s="5"/>
      <c r="I290" s="5"/>
      <c r="J290" s="5"/>
      <c r="K290" s="6"/>
      <c r="L290" s="6"/>
      <c r="M290" s="6"/>
      <c r="N290" s="6"/>
    </row>
    <row r="291" spans="2:14" ht="22" customHeight="1">
      <c r="B291" s="63"/>
      <c r="C291" s="63"/>
      <c r="D291" s="5"/>
      <c r="E291" s="5"/>
      <c r="F291" s="5"/>
      <c r="G291" s="5"/>
      <c r="H291" s="5"/>
      <c r="I291" s="5"/>
      <c r="J291" s="5"/>
      <c r="K291" s="6"/>
      <c r="L291" s="6"/>
      <c r="M291" s="6"/>
      <c r="N291" s="6"/>
    </row>
    <row r="292" spans="2:14" ht="22" customHeight="1">
      <c r="B292" s="63"/>
      <c r="C292" s="63"/>
      <c r="D292" s="5"/>
      <c r="E292" s="5"/>
      <c r="F292" s="5"/>
      <c r="G292" s="5"/>
      <c r="H292" s="5"/>
      <c r="I292" s="5"/>
      <c r="J292" s="5"/>
      <c r="K292" s="6"/>
      <c r="L292" s="6"/>
      <c r="M292" s="6"/>
      <c r="N292" s="6"/>
    </row>
    <row r="293" spans="2:14" ht="22" customHeight="1">
      <c r="B293" s="63"/>
      <c r="C293" s="63"/>
      <c r="D293" s="5"/>
      <c r="E293" s="5"/>
      <c r="F293" s="5"/>
      <c r="G293" s="5"/>
      <c r="H293" s="5"/>
      <c r="I293" s="5"/>
      <c r="J293" s="5"/>
      <c r="K293" s="6"/>
      <c r="L293" s="6"/>
      <c r="M293" s="6"/>
      <c r="N293" s="6"/>
    </row>
    <row r="294" spans="2:14" ht="22" customHeight="1">
      <c r="B294" s="63"/>
      <c r="C294" s="63"/>
      <c r="D294" s="5"/>
      <c r="E294" s="5"/>
      <c r="F294" s="5"/>
      <c r="G294" s="5"/>
      <c r="H294" s="5"/>
      <c r="I294" s="5"/>
      <c r="J294" s="5"/>
      <c r="K294" s="6"/>
      <c r="L294" s="6"/>
      <c r="M294" s="6"/>
      <c r="N294" s="6"/>
    </row>
    <row r="295" spans="2:14" ht="22" customHeight="1">
      <c r="B295" s="63"/>
      <c r="C295" s="63"/>
      <c r="D295" s="5"/>
      <c r="E295" s="5"/>
      <c r="F295" s="5"/>
      <c r="G295" s="5"/>
      <c r="H295" s="5"/>
      <c r="I295" s="5"/>
      <c r="J295" s="5"/>
      <c r="K295" s="6"/>
      <c r="L295" s="6"/>
      <c r="M295" s="6"/>
      <c r="N295" s="6"/>
    </row>
    <row r="296" spans="2:14" ht="22" customHeight="1">
      <c r="B296" s="63"/>
      <c r="C296" s="63"/>
      <c r="D296" s="5"/>
      <c r="E296" s="5"/>
      <c r="F296" s="5"/>
      <c r="G296" s="5"/>
      <c r="H296" s="5"/>
      <c r="I296" s="5"/>
      <c r="J296" s="5"/>
      <c r="K296" s="6"/>
      <c r="L296" s="6"/>
      <c r="M296" s="6"/>
      <c r="N296" s="6"/>
    </row>
    <row r="297" spans="2:14" ht="22" customHeight="1">
      <c r="B297" s="63"/>
      <c r="C297" s="63"/>
      <c r="D297" s="5"/>
      <c r="E297" s="5"/>
      <c r="F297" s="5"/>
      <c r="G297" s="5"/>
      <c r="H297" s="5"/>
      <c r="I297" s="5"/>
      <c r="J297" s="5"/>
      <c r="K297" s="6"/>
      <c r="L297" s="6"/>
      <c r="M297" s="6"/>
      <c r="N297" s="6"/>
    </row>
    <row r="298" spans="2:14" ht="22" customHeight="1">
      <c r="B298" s="63"/>
      <c r="C298" s="63"/>
      <c r="D298" s="5"/>
      <c r="E298" s="5"/>
      <c r="F298" s="5"/>
      <c r="G298" s="5"/>
      <c r="H298" s="5"/>
      <c r="I298" s="5"/>
      <c r="J298" s="5"/>
      <c r="K298" s="6"/>
      <c r="L298" s="6"/>
      <c r="M298" s="6"/>
      <c r="N298" s="6"/>
    </row>
    <row r="299" spans="2:14" ht="22" customHeight="1">
      <c r="B299" s="63"/>
      <c r="C299" s="63"/>
      <c r="D299" s="5"/>
      <c r="E299" s="5"/>
      <c r="F299" s="5"/>
      <c r="G299" s="5"/>
      <c r="H299" s="5"/>
      <c r="I299" s="5"/>
      <c r="J299" s="5"/>
      <c r="K299" s="6"/>
      <c r="L299" s="6"/>
      <c r="M299" s="6"/>
      <c r="N299" s="6"/>
    </row>
    <row r="300" spans="2:14" ht="22" customHeight="1">
      <c r="B300" s="63"/>
      <c r="C300" s="63"/>
      <c r="D300" s="5"/>
      <c r="E300" s="5"/>
      <c r="F300" s="5"/>
      <c r="G300" s="5"/>
      <c r="H300" s="5"/>
      <c r="I300" s="5"/>
      <c r="J300" s="5"/>
      <c r="K300" s="6"/>
      <c r="L300" s="466"/>
      <c r="M300" s="466"/>
      <c r="N300" s="466"/>
    </row>
    <row r="301" spans="2:14" ht="22" customHeight="1">
      <c r="B301" s="63"/>
      <c r="C301" s="63"/>
      <c r="D301" s="5"/>
      <c r="E301" s="5"/>
      <c r="F301" s="5"/>
      <c r="G301" s="5"/>
      <c r="H301" s="5"/>
      <c r="I301" s="5"/>
      <c r="J301" s="5"/>
      <c r="K301" s="6"/>
      <c r="L301" s="468"/>
      <c r="M301" s="468"/>
      <c r="N301" s="468"/>
    </row>
    <row r="302" spans="2:14" ht="22" customHeight="1">
      <c r="B302" s="63"/>
      <c r="C302" s="63"/>
      <c r="D302" s="5"/>
      <c r="E302" s="5"/>
      <c r="F302" s="5"/>
      <c r="G302" s="5"/>
      <c r="H302" s="5"/>
      <c r="I302" s="5"/>
      <c r="J302" s="5"/>
      <c r="K302" s="6"/>
      <c r="L302" s="468"/>
      <c r="M302" s="468"/>
      <c r="N302" s="468"/>
    </row>
    <row r="303" spans="2:14" ht="22" customHeight="1">
      <c r="B303" s="63"/>
      <c r="C303" s="63"/>
      <c r="D303" s="5"/>
      <c r="E303" s="5"/>
      <c r="F303" s="5"/>
      <c r="G303" s="5"/>
      <c r="H303" s="5"/>
      <c r="I303" s="5"/>
      <c r="J303" s="5"/>
      <c r="K303" s="6"/>
      <c r="L303" s="468"/>
      <c r="M303" s="468"/>
      <c r="N303" s="468"/>
    </row>
    <row r="304" spans="2:14" ht="22" customHeight="1">
      <c r="B304" s="63"/>
      <c r="C304" s="63"/>
      <c r="D304" s="5"/>
      <c r="E304" s="5"/>
      <c r="F304" s="5"/>
      <c r="G304" s="5"/>
      <c r="H304" s="5"/>
      <c r="I304" s="5"/>
      <c r="J304" s="5"/>
      <c r="K304" s="6"/>
      <c r="L304" s="468"/>
      <c r="M304" s="468"/>
      <c r="N304" s="468"/>
    </row>
    <row r="305" spans="2:14" ht="22" customHeight="1">
      <c r="B305" s="63"/>
      <c r="C305" s="63"/>
      <c r="D305" s="5"/>
      <c r="E305" s="5"/>
      <c r="F305" s="5"/>
      <c r="G305" s="5"/>
      <c r="H305" s="5"/>
      <c r="I305" s="5"/>
      <c r="J305" s="5"/>
      <c r="K305" s="6"/>
      <c r="L305" s="468"/>
      <c r="M305" s="468"/>
      <c r="N305" s="468"/>
    </row>
    <row r="306" spans="2:14" ht="22" customHeight="1">
      <c r="B306" s="63"/>
      <c r="C306" s="63"/>
      <c r="D306" s="5"/>
      <c r="E306" s="5"/>
      <c r="F306" s="5"/>
      <c r="G306" s="5"/>
      <c r="H306" s="5"/>
      <c r="I306" s="5"/>
      <c r="J306" s="5"/>
      <c r="K306" s="6"/>
      <c r="L306" s="468"/>
      <c r="M306" s="468"/>
      <c r="N306" s="468"/>
    </row>
    <row r="307" spans="2:14" ht="22" customHeight="1">
      <c r="B307" s="63"/>
      <c r="C307" s="63"/>
      <c r="D307" s="5"/>
      <c r="E307" s="5"/>
      <c r="F307" s="5"/>
      <c r="G307" s="5"/>
      <c r="H307" s="5"/>
      <c r="I307" s="5"/>
      <c r="J307" s="5"/>
      <c r="K307" s="6"/>
      <c r="L307" s="468"/>
      <c r="M307" s="468"/>
      <c r="N307" s="468"/>
    </row>
    <row r="308" spans="2:14" ht="22" customHeight="1">
      <c r="B308" s="63"/>
      <c r="C308" s="63"/>
      <c r="D308" s="5"/>
      <c r="E308" s="5"/>
      <c r="F308" s="5"/>
      <c r="G308" s="5"/>
      <c r="H308" s="5"/>
      <c r="I308" s="5"/>
      <c r="J308" s="5"/>
      <c r="K308" s="6"/>
      <c r="L308" s="467"/>
      <c r="M308" s="467"/>
      <c r="N308" s="467"/>
    </row>
    <row r="309" spans="2:14" ht="22" customHeight="1">
      <c r="B309" s="63"/>
      <c r="C309" s="63"/>
      <c r="D309" s="5"/>
      <c r="E309" s="5"/>
      <c r="F309" s="5"/>
      <c r="G309" s="5"/>
      <c r="H309" s="5"/>
      <c r="I309" s="5"/>
      <c r="J309" s="5"/>
      <c r="K309" s="6"/>
      <c r="L309" s="466"/>
      <c r="M309" s="466"/>
      <c r="N309" s="466"/>
    </row>
    <row r="310" spans="2:14" ht="22" customHeight="1">
      <c r="B310" s="63"/>
      <c r="C310" s="63"/>
      <c r="D310" s="5"/>
      <c r="E310" s="5"/>
      <c r="F310" s="5"/>
      <c r="G310" s="5"/>
      <c r="H310" s="5"/>
      <c r="I310" s="5"/>
      <c r="J310" s="5"/>
      <c r="K310" s="6"/>
      <c r="L310" s="467"/>
      <c r="M310" s="467"/>
      <c r="N310" s="467"/>
    </row>
    <row r="311" spans="2:14" ht="22" customHeight="1">
      <c r="B311" s="58"/>
      <c r="C311" s="58"/>
      <c r="H311" s="5"/>
    </row>
    <row r="312" spans="2:14" ht="22" customHeight="1">
      <c r="B312" s="58"/>
      <c r="C312" s="58"/>
      <c r="H312" s="5"/>
    </row>
    <row r="313" spans="2:14" ht="22" customHeight="1">
      <c r="B313" s="58"/>
      <c r="C313" s="58"/>
      <c r="H313" s="5"/>
    </row>
    <row r="314" spans="2:14" ht="22" customHeight="1">
      <c r="B314" s="58"/>
      <c r="C314" s="58"/>
      <c r="H314" s="5"/>
    </row>
    <row r="315" spans="2:14" ht="22" customHeight="1">
      <c r="B315" s="58"/>
      <c r="C315" s="58"/>
      <c r="H315" s="5"/>
    </row>
    <row r="316" spans="2:14" ht="22" customHeight="1">
      <c r="B316" s="58"/>
      <c r="C316" s="58"/>
      <c r="H316" s="5"/>
    </row>
    <row r="317" spans="2:14" ht="22" customHeight="1">
      <c r="B317" s="58"/>
      <c r="C317" s="58"/>
      <c r="H317" s="5"/>
    </row>
    <row r="318" spans="2:14" ht="22" customHeight="1">
      <c r="B318" s="58"/>
      <c r="C318" s="58"/>
      <c r="H318" s="5"/>
    </row>
    <row r="319" spans="2:14" ht="22" customHeight="1">
      <c r="B319" s="58"/>
      <c r="C319" s="58"/>
      <c r="H319" s="5"/>
    </row>
    <row r="320" spans="2:14" ht="22" customHeight="1">
      <c r="B320" s="58"/>
      <c r="C320" s="58"/>
      <c r="H320" s="5"/>
    </row>
    <row r="321" spans="2:8" ht="22" customHeight="1">
      <c r="B321" s="58"/>
      <c r="C321" s="58"/>
      <c r="H321" s="5"/>
    </row>
  </sheetData>
  <autoFilter ref="A3:XET86" xr:uid="{F3CA67AA-3965-C640-84B5-3A73E756DFC1}"/>
  <mergeCells count="9">
    <mergeCell ref="L81:L86"/>
    <mergeCell ref="M81:M86"/>
    <mergeCell ref="N81:N86"/>
    <mergeCell ref="L309:L310"/>
    <mergeCell ref="M309:M310"/>
    <mergeCell ref="N309:N310"/>
    <mergeCell ref="L300:L308"/>
    <mergeCell ref="M300:M308"/>
    <mergeCell ref="N300:N308"/>
  </mergeCells>
  <phoneticPr fontId="1"/>
  <pageMargins left="0.7" right="0.7" top="0.75" bottom="0.75" header="0.3" footer="0.3"/>
  <pageSetup paperSize="9" scale="3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668-2D8C-FB4F-954E-B22CC8A61A2E}">
  <sheetPr>
    <tabColor theme="9" tint="0.79998168889431442"/>
    <pageSetUpPr fitToPage="1"/>
  </sheetPr>
  <dimension ref="B2:W29"/>
  <sheetViews>
    <sheetView topLeftCell="F1" zoomScale="115" workbookViewId="0">
      <selection activeCell="Q6" sqref="Q6:Q7"/>
    </sheetView>
  </sheetViews>
  <sheetFormatPr baseColWidth="10" defaultRowHeight="16"/>
  <cols>
    <col min="2" max="2" width="31.6640625" customWidth="1"/>
    <col min="3" max="3" width="21.5" customWidth="1"/>
    <col min="4" max="4" width="5.5" customWidth="1"/>
    <col min="5" max="5" width="14.83203125" customWidth="1"/>
    <col min="6" max="6" width="18" customWidth="1"/>
    <col min="7" max="8" width="14.6640625" customWidth="1"/>
    <col min="14" max="14" width="0" hidden="1" customWidth="1"/>
    <col min="15" max="15" width="17.33203125" customWidth="1"/>
  </cols>
  <sheetData>
    <row r="2" spans="2:23" ht="39">
      <c r="B2" s="440" t="s">
        <v>464</v>
      </c>
      <c r="C2" s="441"/>
      <c r="D2" s="441"/>
      <c r="E2" s="442"/>
      <c r="F2" s="442"/>
      <c r="G2" s="442"/>
      <c r="H2" s="443"/>
      <c r="J2" s="101" t="s">
        <v>499</v>
      </c>
      <c r="K2" s="102" t="s">
        <v>500</v>
      </c>
      <c r="L2" s="103" t="s">
        <v>476</v>
      </c>
      <c r="M2" s="10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74" t="s">
        <v>465</v>
      </c>
      <c r="C3" s="74"/>
      <c r="D3" s="75"/>
      <c r="E3" s="76" t="s">
        <v>466</v>
      </c>
      <c r="F3" s="77"/>
      <c r="G3" s="77"/>
      <c r="H3" s="78"/>
      <c r="J3" s="109">
        <v>101</v>
      </c>
      <c r="K3" s="446">
        <f>R3/Q3</f>
        <v>1.9767441860465116</v>
      </c>
      <c r="L3" s="450">
        <v>3</v>
      </c>
      <c r="M3" s="452">
        <v>29.9</v>
      </c>
      <c r="N3" s="110">
        <f>L3*M3</f>
        <v>89.699999999999989</v>
      </c>
      <c r="O3" s="454">
        <v>1907552</v>
      </c>
      <c r="P3" s="456">
        <f>Q3/(L3*C22)*100%</f>
        <v>0.9555555555555556</v>
      </c>
      <c r="Q3" s="460">
        <v>86</v>
      </c>
      <c r="R3" s="460">
        <v>170</v>
      </c>
      <c r="S3" s="460">
        <f>L3*C22</f>
        <v>90</v>
      </c>
      <c r="T3" s="454">
        <f>O3/Q3</f>
        <v>22180.837209302324</v>
      </c>
      <c r="U3" s="454">
        <f>O3/R3</f>
        <v>11220.894117647058</v>
      </c>
      <c r="V3" s="454">
        <f>O3/S3</f>
        <v>21195.022222222222</v>
      </c>
      <c r="W3" s="462">
        <f>IFERROR(O3/(N3*C22),0)</f>
        <v>708.86361947231524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45962</v>
      </c>
      <c r="D5" s="75"/>
      <c r="E5" s="84" t="s">
        <v>96</v>
      </c>
      <c r="F5" s="86">
        <v>1609290</v>
      </c>
      <c r="G5" s="87">
        <v>15</v>
      </c>
      <c r="H5" s="88">
        <f>IFERROR(F5/$F$13,0)</f>
        <v>0.22732213482703253</v>
      </c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45991</v>
      </c>
      <c r="D6" s="75"/>
      <c r="E6" s="84" t="s">
        <v>119</v>
      </c>
      <c r="F6" s="86">
        <v>1415977</v>
      </c>
      <c r="G6" s="87">
        <v>20</v>
      </c>
      <c r="H6" s="88">
        <f t="shared" ref="H6:H13" si="0">IFERROR(F6/$F$13,0)</f>
        <v>0.20001548167575581</v>
      </c>
      <c r="J6" s="111">
        <v>102</v>
      </c>
      <c r="K6" s="449">
        <f>R6/Q6</f>
        <v>2.2950819672131146</v>
      </c>
      <c r="L6" s="451">
        <v>2</v>
      </c>
      <c r="M6" s="453">
        <v>36.700000000000003</v>
      </c>
      <c r="N6" s="87">
        <f>L6*M6</f>
        <v>73.400000000000006</v>
      </c>
      <c r="O6" s="455">
        <v>1613229</v>
      </c>
      <c r="P6" s="459">
        <f>Q6/S6*100%</f>
        <v>1.0166666666666666</v>
      </c>
      <c r="Q6" s="461">
        <v>61</v>
      </c>
      <c r="R6" s="461">
        <v>140</v>
      </c>
      <c r="S6" s="461">
        <f>L6*C22</f>
        <v>60</v>
      </c>
      <c r="T6" s="455">
        <f>O6/Q6</f>
        <v>26446.377049180326</v>
      </c>
      <c r="U6" s="455">
        <f>O6/R6</f>
        <v>11523.064285714287</v>
      </c>
      <c r="V6" s="455">
        <f>O6/S6</f>
        <v>26887.15</v>
      </c>
      <c r="W6" s="463">
        <f>IFERROR(O6/(N6*C22),0)</f>
        <v>732.61989100817436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1386279</v>
      </c>
      <c r="G7" s="87">
        <v>18</v>
      </c>
      <c r="H7" s="88">
        <f t="shared" si="0"/>
        <v>0.19582045606813181</v>
      </c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1364207</v>
      </c>
      <c r="G8" s="87">
        <v>8</v>
      </c>
      <c r="H8" s="88">
        <f t="shared" si="0"/>
        <v>0.19270264997979331</v>
      </c>
      <c r="J8" s="111">
        <v>202</v>
      </c>
      <c r="K8" s="449">
        <f>R8/Q8</f>
        <v>2.8135593220338984</v>
      </c>
      <c r="L8" s="451">
        <v>2</v>
      </c>
      <c r="M8" s="453">
        <v>43.1</v>
      </c>
      <c r="N8" s="87">
        <f>L8*M8</f>
        <v>86.2</v>
      </c>
      <c r="O8" s="455">
        <v>1769059</v>
      </c>
      <c r="P8" s="459">
        <f>Q8/S8*100%</f>
        <v>0.98333333333333328</v>
      </c>
      <c r="Q8" s="461">
        <v>59</v>
      </c>
      <c r="R8" s="461">
        <v>166</v>
      </c>
      <c r="S8" s="461">
        <f>L8*C22</f>
        <v>60</v>
      </c>
      <c r="T8" s="455">
        <f>O8/Q8</f>
        <v>29984.050847457627</v>
      </c>
      <c r="U8" s="455">
        <f>O8/R8</f>
        <v>10656.981927710844</v>
      </c>
      <c r="V8" s="455">
        <f>O8/S8</f>
        <v>29484.316666666666</v>
      </c>
      <c r="W8" s="463">
        <f>IFERROR(O8/(N8*C22),0)</f>
        <v>684.0908739365816</v>
      </c>
    </row>
    <row r="9" spans="2:23">
      <c r="B9" s="84" t="s">
        <v>477</v>
      </c>
      <c r="C9" s="91">
        <f>'2025年11月予約一覧表'!K2</f>
        <v>7079337</v>
      </c>
      <c r="D9" s="75"/>
      <c r="E9" s="84" t="s">
        <v>136</v>
      </c>
      <c r="F9" s="86">
        <v>1189320</v>
      </c>
      <c r="G9" s="87">
        <v>16</v>
      </c>
      <c r="H9" s="88">
        <f t="shared" si="0"/>
        <v>0.16799878293687673</v>
      </c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'2025年11月予約一覧表'!J2</f>
        <v>208</v>
      </c>
      <c r="D10" s="75"/>
      <c r="E10" s="90" t="s">
        <v>479</v>
      </c>
      <c r="F10" s="86">
        <v>0</v>
      </c>
      <c r="G10" s="87">
        <v>0</v>
      </c>
      <c r="H10" s="88">
        <f t="shared" si="0"/>
        <v>0</v>
      </c>
      <c r="J10" s="111">
        <v>403</v>
      </c>
      <c r="K10" s="116">
        <f>R10/Q10</f>
        <v>3.0357142857142856</v>
      </c>
      <c r="L10" s="112">
        <v>1</v>
      </c>
      <c r="M10" s="87">
        <v>46.64</v>
      </c>
      <c r="N10" s="87"/>
      <c r="O10" s="86">
        <v>897847</v>
      </c>
      <c r="P10" s="117">
        <f>Q10/S10*100%</f>
        <v>0.93333333333333335</v>
      </c>
      <c r="Q10" s="113">
        <v>28</v>
      </c>
      <c r="R10" s="113">
        <v>85</v>
      </c>
      <c r="S10" s="113">
        <f>L10*C22</f>
        <v>30</v>
      </c>
      <c r="T10" s="86">
        <f>O10/Q10</f>
        <v>32065.964285714286</v>
      </c>
      <c r="U10" s="86">
        <f>O10/R10</f>
        <v>10562.905882352941</v>
      </c>
      <c r="V10" s="86">
        <f>O10/S10</f>
        <v>29928.233333333334</v>
      </c>
      <c r="W10" s="114">
        <f>IFERROR(O10/(M10*C22),0)</f>
        <v>641.68596340766146</v>
      </c>
    </row>
    <row r="11" spans="2:23">
      <c r="B11" s="84" t="s">
        <v>480</v>
      </c>
      <c r="C11" s="89">
        <f>'2025年11月予約一覧表'!E2</f>
        <v>634</v>
      </c>
      <c r="D11" s="75"/>
      <c r="E11" s="90" t="s">
        <v>239</v>
      </c>
      <c r="F11" s="86">
        <v>114264</v>
      </c>
      <c r="G11" s="87">
        <v>6</v>
      </c>
      <c r="H11" s="88">
        <f t="shared" si="0"/>
        <v>1.6140494512409849E-2</v>
      </c>
      <c r="J11" s="118">
        <v>401</v>
      </c>
      <c r="K11" s="119">
        <f>R11/Q11</f>
        <v>4.117647058823529</v>
      </c>
      <c r="L11" s="120">
        <v>1</v>
      </c>
      <c r="M11" s="121">
        <v>60.22</v>
      </c>
      <c r="N11" s="121"/>
      <c r="O11" s="122">
        <v>891650</v>
      </c>
      <c r="P11" s="115">
        <f>Q11/S11*100%</f>
        <v>0.56666666666666665</v>
      </c>
      <c r="Q11" s="123">
        <v>17</v>
      </c>
      <c r="R11" s="123">
        <v>70</v>
      </c>
      <c r="S11" s="123">
        <f>L11*C22</f>
        <v>30</v>
      </c>
      <c r="T11" s="122">
        <f>O11/Q11</f>
        <v>52450</v>
      </c>
      <c r="U11" s="122">
        <f>O11/R11</f>
        <v>12737.857142857143</v>
      </c>
      <c r="V11" s="122">
        <f>O11/S11</f>
        <v>29721.666666666668</v>
      </c>
      <c r="W11" s="124">
        <f>IFERROR(O11/(M11*C22),0)</f>
        <v>493.5514225617182</v>
      </c>
    </row>
    <row r="12" spans="2:23">
      <c r="B12" s="84" t="s">
        <v>481</v>
      </c>
      <c r="C12" s="89">
        <v>9</v>
      </c>
      <c r="D12" s="75"/>
      <c r="E12" s="84" t="s">
        <v>482</v>
      </c>
      <c r="F12" s="86"/>
      <c r="G12" s="87"/>
      <c r="H12" s="88">
        <f t="shared" si="0"/>
        <v>0</v>
      </c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 t="shared" ref="O12" si="1">SUM(O3:O11)</f>
        <v>7079337</v>
      </c>
      <c r="P12" s="129"/>
      <c r="Q12" s="130">
        <f t="shared" ref="Q12:S12" si="2">SUM(Q3:Q11)</f>
        <v>251</v>
      </c>
      <c r="R12" s="130">
        <f t="shared" si="2"/>
        <v>631</v>
      </c>
      <c r="S12" s="130">
        <f t="shared" si="2"/>
        <v>270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270</v>
      </c>
      <c r="D13" s="75"/>
      <c r="E13" s="92" t="s">
        <v>504</v>
      </c>
      <c r="F13" s="93">
        <f>SUM(F5:F12)</f>
        <v>7079337</v>
      </c>
      <c r="G13" s="94">
        <f>SUM(G5:G12)</f>
        <v>83</v>
      </c>
      <c r="H13" s="95">
        <f t="shared" si="0"/>
        <v>1</v>
      </c>
    </row>
    <row r="14" spans="2:23">
      <c r="B14" s="84" t="s">
        <v>484</v>
      </c>
      <c r="C14" s="89">
        <f>'2025年11月予約一覧表'!D2</f>
        <v>251</v>
      </c>
      <c r="D14" s="75"/>
      <c r="E14" s="96"/>
      <c r="F14" s="96"/>
      <c r="G14" s="96"/>
      <c r="H14" s="96"/>
    </row>
    <row r="15" spans="2:23">
      <c r="B15" s="84" t="s">
        <v>485</v>
      </c>
      <c r="C15" s="89">
        <v>39</v>
      </c>
      <c r="D15" s="75"/>
      <c r="E15" s="96"/>
      <c r="F15" s="96"/>
      <c r="G15" s="96"/>
      <c r="H15" s="96"/>
    </row>
    <row r="16" spans="2:23">
      <c r="B16" s="84" t="s">
        <v>486</v>
      </c>
      <c r="C16" s="89">
        <f>'2025年11月予約一覧表'!H2</f>
        <v>83</v>
      </c>
      <c r="D16" s="75"/>
      <c r="E16" s="96"/>
      <c r="F16" s="96"/>
      <c r="G16" s="96"/>
      <c r="H16" s="96"/>
    </row>
    <row r="17" spans="2:8">
      <c r="B17" s="92" t="s">
        <v>487</v>
      </c>
      <c r="C17" s="97"/>
      <c r="D17" s="75"/>
      <c r="E17" s="96"/>
      <c r="F17" s="96"/>
      <c r="G17" s="96"/>
      <c r="H17" s="96"/>
    </row>
    <row r="18" spans="2:8">
      <c r="B18" s="98" t="s">
        <v>488</v>
      </c>
      <c r="C18" s="75"/>
      <c r="D18" s="75"/>
      <c r="E18" s="96"/>
      <c r="F18" s="96"/>
      <c r="G18" s="96"/>
      <c r="H18" s="96"/>
    </row>
    <row r="19" spans="2:8">
      <c r="B19" s="98" t="s">
        <v>489</v>
      </c>
      <c r="C19" s="75"/>
      <c r="D19" s="75"/>
      <c r="E19" s="96"/>
      <c r="F19" s="96"/>
      <c r="G19" s="96"/>
      <c r="H19" s="96"/>
    </row>
    <row r="20" spans="2:8">
      <c r="B20" s="75"/>
      <c r="C20" s="75"/>
      <c r="D20" s="75"/>
      <c r="E20" s="96"/>
      <c r="F20" s="96"/>
      <c r="G20" s="96"/>
      <c r="H20" s="96"/>
    </row>
    <row r="21" spans="2:8">
      <c r="B21" s="99" t="s">
        <v>490</v>
      </c>
      <c r="C21" s="99"/>
      <c r="D21" s="75"/>
      <c r="E21" s="75"/>
      <c r="F21" s="75"/>
      <c r="G21" s="75"/>
      <c r="H21" s="75"/>
    </row>
    <row r="22" spans="2:8">
      <c r="B22" s="79" t="s">
        <v>491</v>
      </c>
      <c r="C22" s="132">
        <f>DATEDIF(C5,C6,"D")+1</f>
        <v>30</v>
      </c>
      <c r="D22" s="75"/>
      <c r="E22" s="75"/>
      <c r="F22" s="75"/>
      <c r="G22" s="75"/>
      <c r="H22" s="75"/>
    </row>
    <row r="23" spans="2:8">
      <c r="B23" s="84" t="s">
        <v>492</v>
      </c>
      <c r="C23" s="100">
        <f>IFERROR(C14/C13,0)</f>
        <v>0.92962962962962958</v>
      </c>
      <c r="D23" s="75"/>
      <c r="E23" s="75"/>
      <c r="F23" s="75"/>
      <c r="G23" s="75"/>
      <c r="H23" s="75"/>
    </row>
    <row r="24" spans="2:8">
      <c r="B24" s="84" t="s">
        <v>493</v>
      </c>
      <c r="C24" s="91">
        <f>IFERROR(C9/C14,0)</f>
        <v>28204.529880478087</v>
      </c>
      <c r="D24" s="75"/>
      <c r="E24" s="75"/>
      <c r="F24" s="75"/>
      <c r="G24" s="75"/>
      <c r="H24" s="75"/>
    </row>
    <row r="25" spans="2:8">
      <c r="B25" s="84" t="s">
        <v>494</v>
      </c>
      <c r="C25" s="91">
        <f>IFERROR(C9/C11,0)</f>
        <v>11166.146687697161</v>
      </c>
      <c r="D25" s="75"/>
      <c r="E25" s="75"/>
      <c r="F25" s="75"/>
      <c r="G25" s="75"/>
      <c r="H25" s="75"/>
    </row>
    <row r="26" spans="2:8">
      <c r="B26" s="84" t="s">
        <v>495</v>
      </c>
      <c r="C26" s="91">
        <f>IFERROR(C9/C13,0)</f>
        <v>26219.766666666666</v>
      </c>
      <c r="D26" s="75"/>
      <c r="E26" s="75"/>
      <c r="F26" s="75"/>
      <c r="G26" s="75"/>
      <c r="H26" s="75"/>
    </row>
    <row r="27" spans="2:8">
      <c r="B27" s="84" t="s">
        <v>496</v>
      </c>
      <c r="C27" s="91">
        <f>IFERROR(C9/(C7*C22),0)</f>
        <v>662.85926966292129</v>
      </c>
      <c r="D27" s="75"/>
      <c r="E27" s="75"/>
      <c r="F27" s="75"/>
      <c r="G27" s="75"/>
      <c r="H27" s="75"/>
    </row>
    <row r="28" spans="2:8">
      <c r="B28" s="84" t="s">
        <v>497</v>
      </c>
      <c r="C28" s="100">
        <f>IFERROR(C15/C16,0)</f>
        <v>0.46987951807228917</v>
      </c>
      <c r="D28" s="75"/>
      <c r="E28" s="75"/>
      <c r="F28" s="75"/>
      <c r="G28" s="75"/>
      <c r="H28" s="75"/>
    </row>
    <row r="29" spans="2:8">
      <c r="B29" s="92" t="s">
        <v>498</v>
      </c>
      <c r="C29" s="97">
        <f>IFERROR(C17/(C14+C17),0)</f>
        <v>0</v>
      </c>
      <c r="D29" s="75"/>
      <c r="E29" s="75"/>
      <c r="F29" s="75"/>
      <c r="G29" s="75"/>
      <c r="H29" s="75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38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5EB5-3732-034C-8AA7-0889BA2796D8}">
  <sheetPr>
    <tabColor theme="8" tint="0.79998168889431442"/>
  </sheetPr>
  <dimension ref="B1:P87"/>
  <sheetViews>
    <sheetView workbookViewId="0">
      <selection activeCell="E3" sqref="E3"/>
    </sheetView>
  </sheetViews>
  <sheetFormatPr baseColWidth="10" defaultColWidth="4.83203125" defaultRowHeight="27" customHeight="1"/>
  <cols>
    <col min="1" max="1" width="4.83203125" style="2"/>
    <col min="2" max="3" width="14.5" style="2" customWidth="1"/>
    <col min="4" max="5" width="6.33203125" style="2" customWidth="1"/>
    <col min="6" max="6" width="11.5" style="2" customWidth="1"/>
    <col min="7" max="7" width="24.33203125" style="2" customWidth="1"/>
    <col min="8" max="8" width="5.33203125" style="2" customWidth="1"/>
    <col min="9" max="9" width="18.33203125" style="2" customWidth="1"/>
    <col min="10" max="10" width="11.83203125" style="2" customWidth="1"/>
    <col min="11" max="11" width="11.83203125" style="57" customWidth="1"/>
    <col min="12" max="13" width="12.1640625" style="57" customWidth="1"/>
    <col min="14" max="14" width="14.1640625" style="57" customWidth="1"/>
    <col min="15" max="16" width="10.5" style="2" customWidth="1"/>
    <col min="17" max="19" width="24.33203125" style="2" customWidth="1"/>
    <col min="20" max="16384" width="4.83203125" style="2"/>
  </cols>
  <sheetData>
    <row r="1" spans="2:16" ht="27" customHeight="1" thickBot="1"/>
    <row r="2" spans="2:16" ht="27" customHeight="1" thickBot="1">
      <c r="B2" s="59"/>
      <c r="C2" s="60"/>
      <c r="D2" s="60">
        <f>SUM(D4:D88)</f>
        <v>248</v>
      </c>
      <c r="E2" s="60">
        <f>SUM(E4:E88)</f>
        <v>654</v>
      </c>
      <c r="F2" s="60"/>
      <c r="G2" s="60"/>
      <c r="H2" s="60">
        <f t="shared" ref="H2:O2" si="0">SUM(H4:H88)</f>
        <v>84</v>
      </c>
      <c r="I2" s="60"/>
      <c r="J2" s="60">
        <f t="shared" si="0"/>
        <v>221</v>
      </c>
      <c r="K2" s="61">
        <f t="shared" si="0"/>
        <v>7256184</v>
      </c>
      <c r="L2" s="61">
        <f t="shared" si="0"/>
        <v>850590</v>
      </c>
      <c r="M2" s="61">
        <f t="shared" si="0"/>
        <v>31981</v>
      </c>
      <c r="N2" s="61">
        <f t="shared" si="0"/>
        <v>5541554</v>
      </c>
      <c r="O2" s="61">
        <f t="shared" si="0"/>
        <v>3059</v>
      </c>
      <c r="P2" s="62"/>
    </row>
    <row r="3" spans="2:16" s="64" customFormat="1" ht="35" customHeight="1" thickBot="1">
      <c r="B3" s="69" t="s">
        <v>23</v>
      </c>
      <c r="C3" s="70" t="s">
        <v>24</v>
      </c>
      <c r="D3" s="70" t="s">
        <v>26</v>
      </c>
      <c r="E3" s="70" t="s">
        <v>463</v>
      </c>
      <c r="F3" s="70" t="s">
        <v>27</v>
      </c>
      <c r="G3" s="70" t="s">
        <v>28</v>
      </c>
      <c r="H3" s="70" t="s">
        <v>29</v>
      </c>
      <c r="I3" s="70" t="s">
        <v>30</v>
      </c>
      <c r="J3" s="70" t="s">
        <v>31</v>
      </c>
      <c r="K3" s="71" t="s">
        <v>32</v>
      </c>
      <c r="L3" s="71" t="s">
        <v>33</v>
      </c>
      <c r="M3" s="71" t="s">
        <v>34</v>
      </c>
      <c r="N3" s="71" t="s">
        <v>161</v>
      </c>
      <c r="O3" s="70" t="s">
        <v>162</v>
      </c>
      <c r="P3" s="72" t="s">
        <v>38</v>
      </c>
    </row>
    <row r="4" spans="2:16" ht="27" customHeight="1">
      <c r="B4" s="66">
        <v>45992</v>
      </c>
      <c r="C4" s="67">
        <v>45996</v>
      </c>
      <c r="D4" s="15">
        <v>4</v>
      </c>
      <c r="E4" s="15">
        <f>D4*J4</f>
        <v>8</v>
      </c>
      <c r="F4" s="15" t="s">
        <v>42</v>
      </c>
      <c r="G4" s="15" t="s">
        <v>49</v>
      </c>
      <c r="H4" s="15">
        <v>1</v>
      </c>
      <c r="I4" s="15" t="s">
        <v>247</v>
      </c>
      <c r="J4" s="15">
        <v>2</v>
      </c>
      <c r="K4" s="16">
        <v>86620</v>
      </c>
      <c r="L4" s="16">
        <v>10394</v>
      </c>
      <c r="M4" s="16">
        <v>0</v>
      </c>
      <c r="N4" s="16">
        <f t="shared" ref="N4:N35" si="1">K4-L4-M4</f>
        <v>76226</v>
      </c>
      <c r="O4" s="15">
        <v>0</v>
      </c>
      <c r="P4" s="68" t="s">
        <v>46</v>
      </c>
    </row>
    <row r="5" spans="2:16" ht="27" customHeight="1">
      <c r="B5" s="65">
        <v>45993</v>
      </c>
      <c r="C5" s="63">
        <v>45996</v>
      </c>
      <c r="D5" s="5">
        <v>3</v>
      </c>
      <c r="E5" s="5">
        <f>D5*J5</f>
        <v>6</v>
      </c>
      <c r="F5" s="5" t="s">
        <v>42</v>
      </c>
      <c r="G5" s="5" t="s">
        <v>43</v>
      </c>
      <c r="H5" s="5">
        <v>1</v>
      </c>
      <c r="I5" s="5" t="s">
        <v>248</v>
      </c>
      <c r="J5" s="5">
        <v>2</v>
      </c>
      <c r="K5" s="6">
        <v>75840</v>
      </c>
      <c r="L5" s="6">
        <v>9102</v>
      </c>
      <c r="M5" s="6">
        <v>0</v>
      </c>
      <c r="N5" s="6">
        <f t="shared" si="1"/>
        <v>66738</v>
      </c>
      <c r="O5" s="5">
        <v>0</v>
      </c>
      <c r="P5" s="7" t="s">
        <v>46</v>
      </c>
    </row>
    <row r="6" spans="2:16" ht="27" customHeight="1">
      <c r="B6" s="65">
        <v>45993</v>
      </c>
      <c r="C6" s="63">
        <v>45995</v>
      </c>
      <c r="D6" s="5">
        <v>2</v>
      </c>
      <c r="E6" s="5">
        <f t="shared" ref="E6:E69" si="2">D6*J6</f>
        <v>4</v>
      </c>
      <c r="F6" s="5" t="s">
        <v>42</v>
      </c>
      <c r="G6" s="5" t="s">
        <v>71</v>
      </c>
      <c r="H6" s="5">
        <v>1</v>
      </c>
      <c r="I6" s="5" t="s">
        <v>249</v>
      </c>
      <c r="J6" s="5">
        <v>2</v>
      </c>
      <c r="K6" s="6">
        <v>63280</v>
      </c>
      <c r="L6" s="6">
        <v>7594</v>
      </c>
      <c r="M6" s="6">
        <v>0</v>
      </c>
      <c r="N6" s="6">
        <f t="shared" si="1"/>
        <v>55686</v>
      </c>
      <c r="O6" s="5">
        <v>0</v>
      </c>
      <c r="P6" s="7" t="s">
        <v>46</v>
      </c>
    </row>
    <row r="7" spans="2:16" ht="27" customHeight="1">
      <c r="B7" s="65">
        <v>45997</v>
      </c>
      <c r="C7" s="63">
        <v>46000</v>
      </c>
      <c r="D7" s="5">
        <v>3</v>
      </c>
      <c r="E7" s="5">
        <f t="shared" si="2"/>
        <v>9</v>
      </c>
      <c r="F7" s="5" t="s">
        <v>42</v>
      </c>
      <c r="G7" s="5" t="s">
        <v>43</v>
      </c>
      <c r="H7" s="5">
        <v>1</v>
      </c>
      <c r="I7" s="5" t="s">
        <v>250</v>
      </c>
      <c r="J7" s="5">
        <v>3</v>
      </c>
      <c r="K7" s="6">
        <v>99114</v>
      </c>
      <c r="L7" s="6">
        <v>11895</v>
      </c>
      <c r="M7" s="6">
        <v>0</v>
      </c>
      <c r="N7" s="6">
        <f t="shared" si="1"/>
        <v>87219</v>
      </c>
      <c r="O7" s="5">
        <v>0</v>
      </c>
      <c r="P7" s="7" t="s">
        <v>46</v>
      </c>
    </row>
    <row r="8" spans="2:16" ht="27" customHeight="1">
      <c r="B8" s="65">
        <v>45997</v>
      </c>
      <c r="C8" s="63">
        <v>45999</v>
      </c>
      <c r="D8" s="5">
        <v>2</v>
      </c>
      <c r="E8" s="5">
        <f t="shared" si="2"/>
        <v>6</v>
      </c>
      <c r="F8" s="5" t="s">
        <v>42</v>
      </c>
      <c r="G8" s="5" t="s">
        <v>49</v>
      </c>
      <c r="H8" s="5">
        <v>1</v>
      </c>
      <c r="I8" s="5" t="s">
        <v>251</v>
      </c>
      <c r="J8" s="5">
        <v>3</v>
      </c>
      <c r="K8" s="6">
        <v>63756</v>
      </c>
      <c r="L8" s="6">
        <v>7650</v>
      </c>
      <c r="M8" s="6">
        <v>0</v>
      </c>
      <c r="N8" s="6">
        <f t="shared" si="1"/>
        <v>56106</v>
      </c>
      <c r="O8" s="5">
        <v>0</v>
      </c>
      <c r="P8" s="7" t="s">
        <v>46</v>
      </c>
    </row>
    <row r="9" spans="2:16" ht="27" customHeight="1">
      <c r="B9" s="65">
        <v>46000</v>
      </c>
      <c r="C9" s="63">
        <v>46003</v>
      </c>
      <c r="D9" s="5">
        <v>3</v>
      </c>
      <c r="E9" s="5">
        <f t="shared" si="2"/>
        <v>6</v>
      </c>
      <c r="F9" s="5" t="s">
        <v>42</v>
      </c>
      <c r="G9" s="5" t="s">
        <v>49</v>
      </c>
      <c r="H9" s="5">
        <v>1</v>
      </c>
      <c r="I9" s="5" t="s">
        <v>252</v>
      </c>
      <c r="J9" s="5">
        <v>2</v>
      </c>
      <c r="K9" s="6">
        <v>44920</v>
      </c>
      <c r="L9" s="6">
        <v>5390</v>
      </c>
      <c r="M9" s="6">
        <v>0</v>
      </c>
      <c r="N9" s="6">
        <f t="shared" si="1"/>
        <v>39530</v>
      </c>
      <c r="O9" s="5">
        <v>0</v>
      </c>
      <c r="P9" s="7" t="s">
        <v>46</v>
      </c>
    </row>
    <row r="10" spans="2:16" ht="27" customHeight="1">
      <c r="B10" s="65">
        <v>46000</v>
      </c>
      <c r="C10" s="63">
        <v>46004</v>
      </c>
      <c r="D10" s="5">
        <v>4</v>
      </c>
      <c r="E10" s="5">
        <f t="shared" si="2"/>
        <v>4</v>
      </c>
      <c r="F10" s="5" t="s">
        <v>42</v>
      </c>
      <c r="G10" s="5" t="s">
        <v>54</v>
      </c>
      <c r="H10" s="5">
        <v>1</v>
      </c>
      <c r="I10" s="5" t="s">
        <v>253</v>
      </c>
      <c r="J10" s="5">
        <v>1</v>
      </c>
      <c r="K10" s="6">
        <v>85300</v>
      </c>
      <c r="L10" s="6">
        <v>10236</v>
      </c>
      <c r="M10" s="6">
        <v>0</v>
      </c>
      <c r="N10" s="6">
        <f t="shared" si="1"/>
        <v>75064</v>
      </c>
      <c r="O10" s="5">
        <v>0</v>
      </c>
      <c r="P10" s="7" t="s">
        <v>46</v>
      </c>
    </row>
    <row r="11" spans="2:16" ht="27" customHeight="1">
      <c r="B11" s="65">
        <v>46000</v>
      </c>
      <c r="C11" s="63">
        <v>46003</v>
      </c>
      <c r="D11" s="5">
        <v>3</v>
      </c>
      <c r="E11" s="5">
        <f t="shared" si="2"/>
        <v>9</v>
      </c>
      <c r="F11" s="5" t="s">
        <v>42</v>
      </c>
      <c r="G11" s="5" t="s">
        <v>54</v>
      </c>
      <c r="H11" s="5">
        <v>1</v>
      </c>
      <c r="I11" s="5" t="s">
        <v>254</v>
      </c>
      <c r="J11" s="5">
        <v>3</v>
      </c>
      <c r="K11" s="6">
        <v>81327</v>
      </c>
      <c r="L11" s="6">
        <v>9758</v>
      </c>
      <c r="M11" s="6">
        <v>0</v>
      </c>
      <c r="N11" s="6">
        <f t="shared" si="1"/>
        <v>71569</v>
      </c>
      <c r="O11" s="5">
        <v>0</v>
      </c>
      <c r="P11" s="7" t="s">
        <v>46</v>
      </c>
    </row>
    <row r="12" spans="2:16" ht="27" customHeight="1">
      <c r="B12" s="65">
        <v>46001</v>
      </c>
      <c r="C12" s="63">
        <v>46004</v>
      </c>
      <c r="D12" s="5">
        <v>3</v>
      </c>
      <c r="E12" s="5">
        <f t="shared" si="2"/>
        <v>9</v>
      </c>
      <c r="F12" s="5" t="s">
        <v>42</v>
      </c>
      <c r="G12" s="5" t="s">
        <v>43</v>
      </c>
      <c r="H12" s="5">
        <v>1</v>
      </c>
      <c r="I12" s="5" t="s">
        <v>255</v>
      </c>
      <c r="J12" s="5">
        <v>3</v>
      </c>
      <c r="K12" s="6">
        <v>99114</v>
      </c>
      <c r="L12" s="6">
        <v>11895</v>
      </c>
      <c r="M12" s="6">
        <v>0</v>
      </c>
      <c r="N12" s="6">
        <f t="shared" si="1"/>
        <v>87219</v>
      </c>
      <c r="O12" s="5">
        <v>0</v>
      </c>
      <c r="P12" s="7" t="s">
        <v>46</v>
      </c>
    </row>
    <row r="13" spans="2:16" ht="27" customHeight="1">
      <c r="B13" s="65">
        <v>46002</v>
      </c>
      <c r="C13" s="63">
        <v>46005</v>
      </c>
      <c r="D13" s="5">
        <v>3</v>
      </c>
      <c r="E13" s="5">
        <f t="shared" si="2"/>
        <v>6</v>
      </c>
      <c r="F13" s="5" t="s">
        <v>42</v>
      </c>
      <c r="G13" s="5" t="s">
        <v>49</v>
      </c>
      <c r="H13" s="5">
        <v>1</v>
      </c>
      <c r="I13" s="5" t="s">
        <v>256</v>
      </c>
      <c r="J13" s="5">
        <v>2</v>
      </c>
      <c r="K13" s="6">
        <v>86620</v>
      </c>
      <c r="L13" s="6">
        <v>10394</v>
      </c>
      <c r="M13" s="6">
        <v>0</v>
      </c>
      <c r="N13" s="6">
        <f t="shared" si="1"/>
        <v>76226</v>
      </c>
      <c r="O13" s="5">
        <v>0</v>
      </c>
      <c r="P13" s="7" t="s">
        <v>46</v>
      </c>
    </row>
    <row r="14" spans="2:16" ht="27" customHeight="1">
      <c r="B14" s="65">
        <v>46002</v>
      </c>
      <c r="C14" s="63">
        <v>46004</v>
      </c>
      <c r="D14" s="5">
        <v>2</v>
      </c>
      <c r="E14" s="5">
        <f t="shared" si="2"/>
        <v>4</v>
      </c>
      <c r="F14" s="5" t="s">
        <v>42</v>
      </c>
      <c r="G14" s="5" t="s">
        <v>71</v>
      </c>
      <c r="H14" s="5">
        <v>1</v>
      </c>
      <c r="I14" s="5" t="s">
        <v>257</v>
      </c>
      <c r="J14" s="5">
        <v>2</v>
      </c>
      <c r="K14" s="6">
        <v>73462</v>
      </c>
      <c r="L14" s="6">
        <v>8816</v>
      </c>
      <c r="M14" s="6">
        <v>0</v>
      </c>
      <c r="N14" s="6">
        <f t="shared" si="1"/>
        <v>64646</v>
      </c>
      <c r="O14" s="5">
        <v>0</v>
      </c>
      <c r="P14" s="7" t="s">
        <v>46</v>
      </c>
    </row>
    <row r="15" spans="2:16" ht="27" customHeight="1">
      <c r="B15" s="65">
        <v>46003</v>
      </c>
      <c r="C15" s="63">
        <v>46007</v>
      </c>
      <c r="D15" s="5">
        <v>4</v>
      </c>
      <c r="E15" s="5">
        <f t="shared" si="2"/>
        <v>16</v>
      </c>
      <c r="F15" s="5" t="s">
        <v>42</v>
      </c>
      <c r="G15" s="5" t="s">
        <v>56</v>
      </c>
      <c r="H15" s="5">
        <v>1</v>
      </c>
      <c r="I15" s="5" t="s">
        <v>258</v>
      </c>
      <c r="J15" s="5">
        <v>4</v>
      </c>
      <c r="K15" s="6">
        <v>166000</v>
      </c>
      <c r="L15" s="6">
        <v>19920</v>
      </c>
      <c r="M15" s="6">
        <v>0</v>
      </c>
      <c r="N15" s="6">
        <f t="shared" si="1"/>
        <v>146080</v>
      </c>
      <c r="O15" s="5">
        <v>0</v>
      </c>
      <c r="P15" s="7" t="s">
        <v>46</v>
      </c>
    </row>
    <row r="16" spans="2:16" ht="27" customHeight="1">
      <c r="B16" s="65">
        <v>46004</v>
      </c>
      <c r="C16" s="63">
        <v>46008</v>
      </c>
      <c r="D16" s="5">
        <v>4</v>
      </c>
      <c r="E16" s="5">
        <f t="shared" si="2"/>
        <v>20</v>
      </c>
      <c r="F16" s="5" t="s">
        <v>42</v>
      </c>
      <c r="G16" s="5" t="s">
        <v>43</v>
      </c>
      <c r="H16" s="5">
        <v>1</v>
      </c>
      <c r="I16" s="5" t="s">
        <v>259</v>
      </c>
      <c r="J16" s="5">
        <v>5</v>
      </c>
      <c r="K16" s="6">
        <v>167400</v>
      </c>
      <c r="L16" s="6">
        <v>20088</v>
      </c>
      <c r="M16" s="6">
        <v>0</v>
      </c>
      <c r="N16" s="6">
        <f t="shared" si="1"/>
        <v>147312</v>
      </c>
      <c r="O16" s="5">
        <v>0</v>
      </c>
      <c r="P16" s="7" t="s">
        <v>46</v>
      </c>
    </row>
    <row r="17" spans="2:16" ht="27" customHeight="1">
      <c r="B17" s="65">
        <v>46006</v>
      </c>
      <c r="C17" s="63">
        <v>46014</v>
      </c>
      <c r="D17" s="5">
        <v>8</v>
      </c>
      <c r="E17" s="5">
        <f t="shared" si="2"/>
        <v>16</v>
      </c>
      <c r="F17" s="5" t="s">
        <v>42</v>
      </c>
      <c r="G17" s="5" t="s">
        <v>49</v>
      </c>
      <c r="H17" s="5">
        <v>1</v>
      </c>
      <c r="I17" s="5" t="s">
        <v>260</v>
      </c>
      <c r="J17" s="5">
        <v>2</v>
      </c>
      <c r="K17" s="6">
        <v>294792</v>
      </c>
      <c r="L17" s="6">
        <v>35376</v>
      </c>
      <c r="M17" s="6">
        <v>0</v>
      </c>
      <c r="N17" s="6">
        <f t="shared" si="1"/>
        <v>259416</v>
      </c>
      <c r="O17" s="5">
        <v>0</v>
      </c>
      <c r="P17" s="7" t="s">
        <v>46</v>
      </c>
    </row>
    <row r="18" spans="2:16" ht="27" customHeight="1">
      <c r="B18" s="65">
        <v>46008</v>
      </c>
      <c r="C18" s="63">
        <v>46010</v>
      </c>
      <c r="D18" s="5">
        <v>2</v>
      </c>
      <c r="E18" s="5">
        <f t="shared" si="2"/>
        <v>6</v>
      </c>
      <c r="F18" s="5" t="s">
        <v>42</v>
      </c>
      <c r="G18" s="5" t="s">
        <v>49</v>
      </c>
      <c r="H18" s="5">
        <v>1</v>
      </c>
      <c r="I18" s="5" t="s">
        <v>261</v>
      </c>
      <c r="J18" s="5">
        <v>3</v>
      </c>
      <c r="K18" s="6">
        <v>62040</v>
      </c>
      <c r="L18" s="6">
        <v>7444</v>
      </c>
      <c r="M18" s="6">
        <v>0</v>
      </c>
      <c r="N18" s="6">
        <f t="shared" si="1"/>
        <v>54596</v>
      </c>
      <c r="O18" s="5">
        <v>0</v>
      </c>
      <c r="P18" s="7" t="s">
        <v>46</v>
      </c>
    </row>
    <row r="19" spans="2:16" ht="27" customHeight="1">
      <c r="B19" s="65">
        <v>46009</v>
      </c>
      <c r="C19" s="63">
        <v>46014</v>
      </c>
      <c r="D19" s="5">
        <v>5</v>
      </c>
      <c r="E19" s="5">
        <f t="shared" si="2"/>
        <v>15</v>
      </c>
      <c r="F19" s="5" t="s">
        <v>42</v>
      </c>
      <c r="G19" s="5" t="s">
        <v>54</v>
      </c>
      <c r="H19" s="5">
        <v>1</v>
      </c>
      <c r="I19" s="5" t="s">
        <v>262</v>
      </c>
      <c r="J19" s="5">
        <v>3</v>
      </c>
      <c r="K19" s="6">
        <v>196308</v>
      </c>
      <c r="L19" s="6">
        <v>23558</v>
      </c>
      <c r="M19" s="6">
        <v>0</v>
      </c>
      <c r="N19" s="6">
        <f t="shared" si="1"/>
        <v>172750</v>
      </c>
      <c r="O19" s="5">
        <v>0</v>
      </c>
      <c r="P19" s="7" t="s">
        <v>46</v>
      </c>
    </row>
    <row r="20" spans="2:16" ht="27" customHeight="1">
      <c r="B20" s="65">
        <v>46011</v>
      </c>
      <c r="C20" s="63">
        <v>46018</v>
      </c>
      <c r="D20" s="5">
        <v>7</v>
      </c>
      <c r="E20" s="5">
        <f t="shared" si="2"/>
        <v>14</v>
      </c>
      <c r="F20" s="5" t="s">
        <v>42</v>
      </c>
      <c r="G20" s="5" t="s">
        <v>49</v>
      </c>
      <c r="H20" s="5">
        <v>1</v>
      </c>
      <c r="I20" s="5" t="s">
        <v>263</v>
      </c>
      <c r="J20" s="5">
        <v>2</v>
      </c>
      <c r="K20" s="6">
        <v>253420</v>
      </c>
      <c r="L20" s="6">
        <v>30412</v>
      </c>
      <c r="M20" s="6">
        <v>0</v>
      </c>
      <c r="N20" s="6">
        <f t="shared" si="1"/>
        <v>223008</v>
      </c>
      <c r="O20" s="5">
        <v>0</v>
      </c>
      <c r="P20" s="7" t="s">
        <v>46</v>
      </c>
    </row>
    <row r="21" spans="2:16" ht="27" customHeight="1">
      <c r="B21" s="65">
        <v>46013</v>
      </c>
      <c r="C21" s="63">
        <v>46015</v>
      </c>
      <c r="D21" s="5">
        <v>2</v>
      </c>
      <c r="E21" s="5">
        <f t="shared" si="2"/>
        <v>4</v>
      </c>
      <c r="F21" s="5" t="s">
        <v>42</v>
      </c>
      <c r="G21" s="5" t="s">
        <v>54</v>
      </c>
      <c r="H21" s="5">
        <v>1</v>
      </c>
      <c r="I21" s="5" t="s">
        <v>264</v>
      </c>
      <c r="J21" s="5">
        <v>2</v>
      </c>
      <c r="K21" s="6">
        <v>42600</v>
      </c>
      <c r="L21" s="6">
        <v>5112</v>
      </c>
      <c r="M21" s="6">
        <v>0</v>
      </c>
      <c r="N21" s="6">
        <f t="shared" si="1"/>
        <v>37488</v>
      </c>
      <c r="O21" s="5">
        <v>0</v>
      </c>
      <c r="P21" s="7" t="s">
        <v>46</v>
      </c>
    </row>
    <row r="22" spans="2:16" ht="27" customHeight="1">
      <c r="B22" s="65">
        <v>46015</v>
      </c>
      <c r="C22" s="63">
        <v>46018</v>
      </c>
      <c r="D22" s="5">
        <v>3</v>
      </c>
      <c r="E22" s="5">
        <f t="shared" si="2"/>
        <v>9</v>
      </c>
      <c r="F22" s="5" t="s">
        <v>42</v>
      </c>
      <c r="G22" s="5" t="s">
        <v>43</v>
      </c>
      <c r="H22" s="5">
        <v>1</v>
      </c>
      <c r="I22" s="5" t="s">
        <v>265</v>
      </c>
      <c r="J22" s="5">
        <v>3</v>
      </c>
      <c r="K22" s="6">
        <v>67941</v>
      </c>
      <c r="L22" s="6">
        <v>8153</v>
      </c>
      <c r="M22" s="6">
        <v>0</v>
      </c>
      <c r="N22" s="6">
        <f t="shared" si="1"/>
        <v>59788</v>
      </c>
      <c r="O22" s="5">
        <v>0</v>
      </c>
      <c r="P22" s="7" t="s">
        <v>46</v>
      </c>
    </row>
    <row r="23" spans="2:16" ht="27" customHeight="1">
      <c r="B23" s="65">
        <v>46015</v>
      </c>
      <c r="C23" s="63">
        <v>46019</v>
      </c>
      <c r="D23" s="5">
        <v>4</v>
      </c>
      <c r="E23" s="5">
        <f t="shared" si="2"/>
        <v>8</v>
      </c>
      <c r="F23" s="5" t="s">
        <v>42</v>
      </c>
      <c r="G23" s="5" t="s">
        <v>54</v>
      </c>
      <c r="H23" s="5">
        <v>1</v>
      </c>
      <c r="I23" s="5" t="s">
        <v>266</v>
      </c>
      <c r="J23" s="5">
        <v>2</v>
      </c>
      <c r="K23" s="6">
        <v>109700</v>
      </c>
      <c r="L23" s="6">
        <v>13164</v>
      </c>
      <c r="M23" s="6">
        <v>0</v>
      </c>
      <c r="N23" s="6">
        <f t="shared" si="1"/>
        <v>96536</v>
      </c>
      <c r="O23" s="5">
        <v>0</v>
      </c>
      <c r="P23" s="7" t="s">
        <v>46</v>
      </c>
    </row>
    <row r="24" spans="2:16" ht="27" customHeight="1">
      <c r="B24" s="65">
        <v>46015</v>
      </c>
      <c r="C24" s="63">
        <v>46018</v>
      </c>
      <c r="D24" s="5">
        <v>3</v>
      </c>
      <c r="E24" s="5">
        <f t="shared" si="2"/>
        <v>6</v>
      </c>
      <c r="F24" s="5" t="s">
        <v>42</v>
      </c>
      <c r="G24" s="5" t="s">
        <v>49</v>
      </c>
      <c r="H24" s="5">
        <v>1</v>
      </c>
      <c r="I24" s="5" t="s">
        <v>267</v>
      </c>
      <c r="J24" s="5">
        <v>2</v>
      </c>
      <c r="K24" s="6">
        <v>89400</v>
      </c>
      <c r="L24" s="6">
        <v>10728</v>
      </c>
      <c r="M24" s="6">
        <v>0</v>
      </c>
      <c r="N24" s="6">
        <f t="shared" si="1"/>
        <v>78672</v>
      </c>
      <c r="O24" s="5">
        <v>0</v>
      </c>
      <c r="P24" s="7" t="s">
        <v>46</v>
      </c>
    </row>
    <row r="25" spans="2:16" ht="27" customHeight="1">
      <c r="B25" s="65">
        <v>46016</v>
      </c>
      <c r="C25" s="63">
        <v>46022</v>
      </c>
      <c r="D25" s="5">
        <v>6</v>
      </c>
      <c r="E25" s="5">
        <f t="shared" si="2"/>
        <v>18</v>
      </c>
      <c r="F25" s="5" t="s">
        <v>42</v>
      </c>
      <c r="G25" s="5" t="s">
        <v>54</v>
      </c>
      <c r="H25" s="5">
        <v>1</v>
      </c>
      <c r="I25" s="5" t="s">
        <v>268</v>
      </c>
      <c r="J25" s="5">
        <v>3</v>
      </c>
      <c r="K25" s="6">
        <v>259740</v>
      </c>
      <c r="L25" s="6">
        <v>31170</v>
      </c>
      <c r="M25" s="6">
        <v>0</v>
      </c>
      <c r="N25" s="6">
        <f t="shared" si="1"/>
        <v>228570</v>
      </c>
      <c r="O25" s="5">
        <v>0</v>
      </c>
      <c r="P25" s="7" t="s">
        <v>46</v>
      </c>
    </row>
    <row r="26" spans="2:16" ht="27" customHeight="1">
      <c r="B26" s="65">
        <v>46019</v>
      </c>
      <c r="C26" s="63">
        <v>46021</v>
      </c>
      <c r="D26" s="5">
        <v>2</v>
      </c>
      <c r="E26" s="5">
        <f t="shared" si="2"/>
        <v>6</v>
      </c>
      <c r="F26" s="5" t="s">
        <v>42</v>
      </c>
      <c r="G26" s="5" t="s">
        <v>54</v>
      </c>
      <c r="H26" s="5">
        <v>1</v>
      </c>
      <c r="I26" s="5" t="s">
        <v>265</v>
      </c>
      <c r="J26" s="5">
        <v>3</v>
      </c>
      <c r="K26" s="6">
        <v>53574</v>
      </c>
      <c r="L26" s="6">
        <v>6428</v>
      </c>
      <c r="M26" s="6">
        <v>0</v>
      </c>
      <c r="N26" s="6">
        <f t="shared" si="1"/>
        <v>47146</v>
      </c>
      <c r="O26" s="5">
        <v>0</v>
      </c>
      <c r="P26" s="7" t="s">
        <v>46</v>
      </c>
    </row>
    <row r="27" spans="2:16" ht="27" customHeight="1">
      <c r="B27" s="65">
        <v>45992</v>
      </c>
      <c r="C27" s="63">
        <v>45996</v>
      </c>
      <c r="D27" s="5">
        <v>4</v>
      </c>
      <c r="E27" s="5">
        <f t="shared" si="2"/>
        <v>4</v>
      </c>
      <c r="F27" s="5" t="s">
        <v>96</v>
      </c>
      <c r="G27" s="5" t="s">
        <v>49</v>
      </c>
      <c r="H27" s="5">
        <v>1</v>
      </c>
      <c r="I27" s="5" t="s">
        <v>269</v>
      </c>
      <c r="J27" s="5">
        <v>1</v>
      </c>
      <c r="K27" s="6">
        <v>72720</v>
      </c>
      <c r="L27" s="6">
        <v>11272</v>
      </c>
      <c r="M27" s="6">
        <v>0</v>
      </c>
      <c r="N27" s="6">
        <f t="shared" si="1"/>
        <v>61448</v>
      </c>
      <c r="O27" s="5">
        <v>0</v>
      </c>
      <c r="P27" s="7" t="s">
        <v>46</v>
      </c>
    </row>
    <row r="28" spans="2:16" ht="27" customHeight="1">
      <c r="B28" s="65">
        <v>45993</v>
      </c>
      <c r="C28" s="63">
        <v>45998</v>
      </c>
      <c r="D28" s="5">
        <v>5</v>
      </c>
      <c r="E28" s="5">
        <f t="shared" si="2"/>
        <v>20</v>
      </c>
      <c r="F28" s="5" t="s">
        <v>96</v>
      </c>
      <c r="G28" s="5" t="s">
        <v>56</v>
      </c>
      <c r="H28" s="5">
        <v>1</v>
      </c>
      <c r="I28" s="5" t="s">
        <v>270</v>
      </c>
      <c r="J28" s="5">
        <v>4</v>
      </c>
      <c r="K28" s="6">
        <v>166000</v>
      </c>
      <c r="L28" s="6">
        <v>25730</v>
      </c>
      <c r="M28" s="6">
        <v>0</v>
      </c>
      <c r="N28" s="6">
        <f t="shared" si="1"/>
        <v>140270</v>
      </c>
      <c r="O28" s="5">
        <v>0</v>
      </c>
      <c r="P28" s="7" t="s">
        <v>46</v>
      </c>
    </row>
    <row r="29" spans="2:16" ht="27" customHeight="1">
      <c r="B29" s="65">
        <v>45994</v>
      </c>
      <c r="C29" s="63">
        <v>45998</v>
      </c>
      <c r="D29" s="5">
        <v>4</v>
      </c>
      <c r="E29" s="5">
        <f t="shared" si="2"/>
        <v>12</v>
      </c>
      <c r="F29" s="5" t="s">
        <v>96</v>
      </c>
      <c r="G29" s="5" t="s">
        <v>71</v>
      </c>
      <c r="H29" s="5">
        <v>1</v>
      </c>
      <c r="I29" s="5" t="s">
        <v>271</v>
      </c>
      <c r="J29" s="5">
        <v>3</v>
      </c>
      <c r="K29" s="6">
        <v>138460</v>
      </c>
      <c r="L29" s="6">
        <v>21461</v>
      </c>
      <c r="M29" s="6">
        <v>0</v>
      </c>
      <c r="N29" s="6">
        <f t="shared" si="1"/>
        <v>116999</v>
      </c>
      <c r="O29" s="5">
        <v>0</v>
      </c>
      <c r="P29" s="7" t="s">
        <v>46</v>
      </c>
    </row>
    <row r="30" spans="2:16" ht="27" customHeight="1">
      <c r="B30" s="65">
        <v>45994</v>
      </c>
      <c r="C30" s="63">
        <v>46000</v>
      </c>
      <c r="D30" s="5">
        <v>6</v>
      </c>
      <c r="E30" s="5">
        <f t="shared" si="2"/>
        <v>12</v>
      </c>
      <c r="F30" s="5" t="s">
        <v>96</v>
      </c>
      <c r="G30" s="5" t="s">
        <v>54</v>
      </c>
      <c r="H30" s="5">
        <v>1</v>
      </c>
      <c r="I30" s="5" t="s">
        <v>272</v>
      </c>
      <c r="J30" s="5">
        <v>2</v>
      </c>
      <c r="K30" s="6">
        <v>152400</v>
      </c>
      <c r="L30" s="6">
        <v>22860</v>
      </c>
      <c r="M30" s="6">
        <v>0</v>
      </c>
      <c r="N30" s="6">
        <f t="shared" si="1"/>
        <v>129540</v>
      </c>
      <c r="O30" s="5">
        <v>0</v>
      </c>
      <c r="P30" s="7" t="s">
        <v>46</v>
      </c>
    </row>
    <row r="31" spans="2:16" ht="27" customHeight="1">
      <c r="B31" s="65">
        <v>45996</v>
      </c>
      <c r="C31" s="63">
        <v>45999</v>
      </c>
      <c r="D31" s="5">
        <v>3</v>
      </c>
      <c r="E31" s="5">
        <f t="shared" si="2"/>
        <v>6</v>
      </c>
      <c r="F31" s="5" t="s">
        <v>96</v>
      </c>
      <c r="G31" s="5" t="s">
        <v>49</v>
      </c>
      <c r="H31" s="5">
        <v>1</v>
      </c>
      <c r="I31" s="5" t="s">
        <v>273</v>
      </c>
      <c r="J31" s="5">
        <v>2</v>
      </c>
      <c r="K31" s="6">
        <v>64380</v>
      </c>
      <c r="L31" s="6">
        <v>9979</v>
      </c>
      <c r="M31" s="6">
        <v>0</v>
      </c>
      <c r="N31" s="6">
        <f t="shared" si="1"/>
        <v>54401</v>
      </c>
      <c r="O31" s="5">
        <v>0</v>
      </c>
      <c r="P31" s="7" t="s">
        <v>46</v>
      </c>
    </row>
    <row r="32" spans="2:16" ht="27" customHeight="1">
      <c r="B32" s="65">
        <v>45999</v>
      </c>
      <c r="C32" s="63">
        <v>46001</v>
      </c>
      <c r="D32" s="5">
        <v>2</v>
      </c>
      <c r="E32" s="5">
        <f t="shared" si="2"/>
        <v>4</v>
      </c>
      <c r="F32" s="5" t="s">
        <v>96</v>
      </c>
      <c r="G32" s="5" t="s">
        <v>49</v>
      </c>
      <c r="H32" s="5">
        <v>1</v>
      </c>
      <c r="I32" s="5" t="s">
        <v>274</v>
      </c>
      <c r="J32" s="5">
        <v>2</v>
      </c>
      <c r="K32" s="6">
        <v>36580</v>
      </c>
      <c r="L32" s="6">
        <v>5670</v>
      </c>
      <c r="M32" s="6">
        <v>0</v>
      </c>
      <c r="N32" s="6">
        <f t="shared" si="1"/>
        <v>30910</v>
      </c>
      <c r="O32" s="5">
        <v>0</v>
      </c>
      <c r="P32" s="7" t="s">
        <v>46</v>
      </c>
    </row>
    <row r="33" spans="2:16" ht="27" customHeight="1">
      <c r="B33" s="65">
        <v>46002</v>
      </c>
      <c r="C33" s="63">
        <v>46006</v>
      </c>
      <c r="D33" s="5">
        <v>4</v>
      </c>
      <c r="E33" s="5">
        <f t="shared" si="2"/>
        <v>12</v>
      </c>
      <c r="F33" s="5" t="s">
        <v>96</v>
      </c>
      <c r="G33" s="5" t="s">
        <v>71</v>
      </c>
      <c r="H33" s="5">
        <v>1</v>
      </c>
      <c r="I33" s="5" t="s">
        <v>275</v>
      </c>
      <c r="J33" s="5">
        <v>3</v>
      </c>
      <c r="K33" s="6">
        <v>120560</v>
      </c>
      <c r="L33" s="6">
        <v>18084</v>
      </c>
      <c r="M33" s="6">
        <v>0</v>
      </c>
      <c r="N33" s="6">
        <f t="shared" si="1"/>
        <v>102476</v>
      </c>
      <c r="O33" s="5">
        <v>0</v>
      </c>
      <c r="P33" s="7" t="s">
        <v>46</v>
      </c>
    </row>
    <row r="34" spans="2:16" ht="27" customHeight="1">
      <c r="B34" s="65">
        <v>46003</v>
      </c>
      <c r="C34" s="63">
        <v>46006</v>
      </c>
      <c r="D34" s="5">
        <v>3</v>
      </c>
      <c r="E34" s="5">
        <f t="shared" si="2"/>
        <v>6</v>
      </c>
      <c r="F34" s="5" t="s">
        <v>96</v>
      </c>
      <c r="G34" s="5" t="s">
        <v>49</v>
      </c>
      <c r="H34" s="5">
        <v>1</v>
      </c>
      <c r="I34" s="5" t="s">
        <v>331</v>
      </c>
      <c r="J34" s="5">
        <v>2</v>
      </c>
      <c r="K34" s="6">
        <v>89400</v>
      </c>
      <c r="L34" s="6">
        <v>13857</v>
      </c>
      <c r="M34" s="6">
        <v>0</v>
      </c>
      <c r="N34" s="6">
        <f t="shared" si="1"/>
        <v>75543</v>
      </c>
      <c r="O34" s="5">
        <v>0</v>
      </c>
      <c r="P34" s="7" t="s">
        <v>46</v>
      </c>
    </row>
    <row r="35" spans="2:16" ht="27" customHeight="1">
      <c r="B35" s="65">
        <v>46005</v>
      </c>
      <c r="C35" s="63">
        <v>46007</v>
      </c>
      <c r="D35" s="5">
        <v>2</v>
      </c>
      <c r="E35" s="5">
        <f t="shared" si="2"/>
        <v>4</v>
      </c>
      <c r="F35" s="5" t="s">
        <v>96</v>
      </c>
      <c r="G35" s="5" t="s">
        <v>49</v>
      </c>
      <c r="H35" s="5">
        <v>1</v>
      </c>
      <c r="I35" s="5" t="s">
        <v>276</v>
      </c>
      <c r="J35" s="5">
        <v>2</v>
      </c>
      <c r="K35" s="6">
        <v>29630</v>
      </c>
      <c r="L35" s="6">
        <v>4593</v>
      </c>
      <c r="M35" s="6">
        <v>0</v>
      </c>
      <c r="N35" s="6">
        <f t="shared" si="1"/>
        <v>25037</v>
      </c>
      <c r="O35" s="5">
        <v>0</v>
      </c>
      <c r="P35" s="7" t="s">
        <v>46</v>
      </c>
    </row>
    <row r="36" spans="2:16" ht="27" customHeight="1">
      <c r="B36" s="65">
        <v>46005</v>
      </c>
      <c r="C36" s="63">
        <v>46008</v>
      </c>
      <c r="D36" s="5">
        <v>3</v>
      </c>
      <c r="E36" s="5">
        <f t="shared" si="2"/>
        <v>6</v>
      </c>
      <c r="F36" s="5" t="s">
        <v>96</v>
      </c>
      <c r="G36" s="5" t="s">
        <v>49</v>
      </c>
      <c r="H36" s="5">
        <v>1</v>
      </c>
      <c r="I36" s="5" t="s">
        <v>332</v>
      </c>
      <c r="J36" s="5">
        <v>2</v>
      </c>
      <c r="K36" s="6">
        <v>42140</v>
      </c>
      <c r="L36" s="6">
        <v>6532</v>
      </c>
      <c r="M36" s="6">
        <v>0</v>
      </c>
      <c r="N36" s="6">
        <f t="shared" ref="N36:N67" si="3">K36-L36-M36</f>
        <v>35608</v>
      </c>
      <c r="O36" s="5">
        <v>0</v>
      </c>
      <c r="P36" s="7" t="s">
        <v>46</v>
      </c>
    </row>
    <row r="37" spans="2:16" ht="27" customHeight="1">
      <c r="B37" s="65">
        <v>46012</v>
      </c>
      <c r="C37" s="63">
        <v>46017</v>
      </c>
      <c r="D37" s="5">
        <v>5</v>
      </c>
      <c r="E37" s="5">
        <f t="shared" si="2"/>
        <v>15</v>
      </c>
      <c r="F37" s="5" t="s">
        <v>96</v>
      </c>
      <c r="G37" s="5" t="s">
        <v>71</v>
      </c>
      <c r="H37" s="5">
        <v>1</v>
      </c>
      <c r="I37" s="5" t="s">
        <v>277</v>
      </c>
      <c r="J37" s="5">
        <v>3</v>
      </c>
      <c r="K37" s="6">
        <v>77600</v>
      </c>
      <c r="L37" s="6">
        <v>12028</v>
      </c>
      <c r="M37" s="6">
        <v>0</v>
      </c>
      <c r="N37" s="6">
        <f t="shared" si="3"/>
        <v>65572</v>
      </c>
      <c r="O37" s="5">
        <v>0</v>
      </c>
      <c r="P37" s="7" t="s">
        <v>46</v>
      </c>
    </row>
    <row r="38" spans="2:16" ht="27" customHeight="1">
      <c r="B38" s="65">
        <v>46013</v>
      </c>
      <c r="C38" s="63">
        <v>46015</v>
      </c>
      <c r="D38" s="5">
        <v>2</v>
      </c>
      <c r="E38" s="5">
        <f t="shared" si="2"/>
        <v>8</v>
      </c>
      <c r="F38" s="5" t="s">
        <v>96</v>
      </c>
      <c r="G38" s="5" t="s">
        <v>71</v>
      </c>
      <c r="H38" s="5">
        <v>1</v>
      </c>
      <c r="I38" s="5" t="s">
        <v>278</v>
      </c>
      <c r="J38" s="5">
        <v>4</v>
      </c>
      <c r="K38" s="6">
        <v>86020</v>
      </c>
      <c r="L38" s="6">
        <v>13333</v>
      </c>
      <c r="M38" s="6">
        <v>0</v>
      </c>
      <c r="N38" s="6">
        <f t="shared" si="3"/>
        <v>72687</v>
      </c>
      <c r="O38" s="5">
        <v>0</v>
      </c>
      <c r="P38" s="7" t="s">
        <v>46</v>
      </c>
    </row>
    <row r="39" spans="2:16" ht="27" customHeight="1">
      <c r="B39" s="65">
        <v>46018</v>
      </c>
      <c r="C39" s="63">
        <v>46019</v>
      </c>
      <c r="D39" s="5">
        <v>1</v>
      </c>
      <c r="E39" s="5">
        <f t="shared" si="2"/>
        <v>3</v>
      </c>
      <c r="F39" s="5" t="s">
        <v>96</v>
      </c>
      <c r="G39" s="5" t="s">
        <v>49</v>
      </c>
      <c r="H39" s="5">
        <v>1</v>
      </c>
      <c r="I39" s="5" t="s">
        <v>279</v>
      </c>
      <c r="J39" s="5">
        <v>3</v>
      </c>
      <c r="K39" s="6">
        <v>36580</v>
      </c>
      <c r="L39" s="6">
        <v>5670</v>
      </c>
      <c r="M39" s="6">
        <v>0</v>
      </c>
      <c r="N39" s="6">
        <f t="shared" si="3"/>
        <v>30910</v>
      </c>
      <c r="O39" s="5">
        <v>0</v>
      </c>
      <c r="P39" s="7" t="s">
        <v>46</v>
      </c>
    </row>
    <row r="40" spans="2:16" ht="27" customHeight="1">
      <c r="B40" s="65">
        <v>46019</v>
      </c>
      <c r="C40" s="63">
        <v>46021</v>
      </c>
      <c r="D40" s="5">
        <v>2</v>
      </c>
      <c r="E40" s="5">
        <f t="shared" si="2"/>
        <v>4</v>
      </c>
      <c r="F40" s="5" t="s">
        <v>96</v>
      </c>
      <c r="G40" s="5" t="s">
        <v>49</v>
      </c>
      <c r="H40" s="5">
        <v>1</v>
      </c>
      <c r="I40" s="5" t="s">
        <v>280</v>
      </c>
      <c r="J40" s="5">
        <v>2</v>
      </c>
      <c r="K40" s="6">
        <v>72720</v>
      </c>
      <c r="L40" s="6">
        <v>11272</v>
      </c>
      <c r="M40" s="6">
        <v>0</v>
      </c>
      <c r="N40" s="6">
        <f t="shared" si="3"/>
        <v>61448</v>
      </c>
      <c r="O40" s="5">
        <v>0</v>
      </c>
      <c r="P40" s="7" t="s">
        <v>46</v>
      </c>
    </row>
    <row r="41" spans="2:16" ht="27" customHeight="1">
      <c r="B41" s="65">
        <v>46021</v>
      </c>
      <c r="C41" s="63">
        <v>46022</v>
      </c>
      <c r="D41" s="5">
        <v>1</v>
      </c>
      <c r="E41" s="5">
        <f t="shared" si="2"/>
        <v>4</v>
      </c>
      <c r="F41" s="5" t="s">
        <v>119</v>
      </c>
      <c r="G41" s="5" t="s">
        <v>54</v>
      </c>
      <c r="H41" s="5">
        <v>1</v>
      </c>
      <c r="I41" s="5" t="s">
        <v>281</v>
      </c>
      <c r="J41" s="5">
        <v>4</v>
      </c>
      <c r="K41" s="6">
        <v>30400</v>
      </c>
      <c r="L41" s="6">
        <v>3648</v>
      </c>
      <c r="M41" s="6">
        <v>699</v>
      </c>
      <c r="N41" s="6">
        <f t="shared" si="3"/>
        <v>26053</v>
      </c>
      <c r="O41" s="5">
        <v>0</v>
      </c>
      <c r="P41" s="7" t="s">
        <v>46</v>
      </c>
    </row>
    <row r="42" spans="2:16" ht="27" customHeight="1">
      <c r="B42" s="65">
        <v>46019</v>
      </c>
      <c r="C42" s="63">
        <v>46020</v>
      </c>
      <c r="D42" s="5">
        <v>1</v>
      </c>
      <c r="E42" s="5">
        <f t="shared" si="2"/>
        <v>4</v>
      </c>
      <c r="F42" s="5" t="s">
        <v>119</v>
      </c>
      <c r="G42" s="5" t="s">
        <v>56</v>
      </c>
      <c r="H42" s="5">
        <v>1</v>
      </c>
      <c r="I42" s="5" t="s">
        <v>282</v>
      </c>
      <c r="J42" s="5">
        <v>4</v>
      </c>
      <c r="K42" s="6">
        <v>24000</v>
      </c>
      <c r="L42" s="6">
        <v>2880</v>
      </c>
      <c r="M42" s="6">
        <v>552</v>
      </c>
      <c r="N42" s="6">
        <f t="shared" si="3"/>
        <v>20568</v>
      </c>
      <c r="O42" s="5">
        <v>0</v>
      </c>
      <c r="P42" s="7" t="s">
        <v>46</v>
      </c>
    </row>
    <row r="43" spans="2:16" ht="27" customHeight="1">
      <c r="B43" s="65">
        <v>46019</v>
      </c>
      <c r="C43" s="63">
        <v>46020</v>
      </c>
      <c r="D43" s="5">
        <v>1</v>
      </c>
      <c r="E43" s="5">
        <f t="shared" si="2"/>
        <v>3</v>
      </c>
      <c r="F43" s="5" t="s">
        <v>119</v>
      </c>
      <c r="G43" s="5" t="s">
        <v>43</v>
      </c>
      <c r="H43" s="5">
        <v>1</v>
      </c>
      <c r="I43" s="5" t="s">
        <v>283</v>
      </c>
      <c r="J43" s="5">
        <v>3</v>
      </c>
      <c r="K43" s="6">
        <v>33159</v>
      </c>
      <c r="L43" s="6">
        <v>3979</v>
      </c>
      <c r="M43" s="6">
        <v>763</v>
      </c>
      <c r="N43" s="6">
        <f t="shared" si="3"/>
        <v>28417</v>
      </c>
      <c r="O43" s="5">
        <v>0</v>
      </c>
      <c r="P43" s="7" t="s">
        <v>46</v>
      </c>
    </row>
    <row r="44" spans="2:16" ht="27" customHeight="1">
      <c r="B44" s="65">
        <v>46012</v>
      </c>
      <c r="C44" s="63">
        <v>46018</v>
      </c>
      <c r="D44" s="5">
        <v>6</v>
      </c>
      <c r="E44" s="5">
        <f t="shared" si="2"/>
        <v>24</v>
      </c>
      <c r="F44" s="5" t="s">
        <v>119</v>
      </c>
      <c r="G44" s="5" t="s">
        <v>56</v>
      </c>
      <c r="H44" s="5">
        <v>1</v>
      </c>
      <c r="I44" s="5" t="s">
        <v>284</v>
      </c>
      <c r="J44" s="5">
        <v>4</v>
      </c>
      <c r="K44" s="6">
        <v>196000</v>
      </c>
      <c r="L44" s="6">
        <v>23520</v>
      </c>
      <c r="M44" s="6">
        <v>4508</v>
      </c>
      <c r="N44" s="6">
        <f t="shared" si="3"/>
        <v>167972</v>
      </c>
      <c r="O44" s="5">
        <v>0</v>
      </c>
      <c r="P44" s="7" t="s">
        <v>46</v>
      </c>
    </row>
    <row r="45" spans="2:16" ht="27" customHeight="1">
      <c r="B45" s="65">
        <v>46010</v>
      </c>
      <c r="C45" s="63">
        <v>46016</v>
      </c>
      <c r="D45" s="5">
        <v>6</v>
      </c>
      <c r="E45" s="5">
        <f t="shared" si="2"/>
        <v>12</v>
      </c>
      <c r="F45" s="5" t="s">
        <v>119</v>
      </c>
      <c r="G45" s="5" t="s">
        <v>49</v>
      </c>
      <c r="H45" s="5">
        <v>1</v>
      </c>
      <c r="I45" s="5" t="s">
        <v>285</v>
      </c>
      <c r="J45" s="5">
        <v>2</v>
      </c>
      <c r="K45" s="6">
        <v>170020</v>
      </c>
      <c r="L45" s="6">
        <v>20402</v>
      </c>
      <c r="M45" s="6">
        <v>3910</v>
      </c>
      <c r="N45" s="6">
        <f t="shared" si="3"/>
        <v>145708</v>
      </c>
      <c r="O45" s="5">
        <v>0</v>
      </c>
      <c r="P45" s="7" t="s">
        <v>46</v>
      </c>
    </row>
    <row r="46" spans="2:16" ht="27" customHeight="1">
      <c r="B46" s="65">
        <v>46009</v>
      </c>
      <c r="C46" s="63">
        <v>46012</v>
      </c>
      <c r="D46" s="5">
        <v>3</v>
      </c>
      <c r="E46" s="5">
        <f t="shared" si="2"/>
        <v>9</v>
      </c>
      <c r="F46" s="5" t="s">
        <v>119</v>
      </c>
      <c r="G46" s="5" t="s">
        <v>71</v>
      </c>
      <c r="H46" s="5">
        <v>1</v>
      </c>
      <c r="I46" s="5" t="s">
        <v>286</v>
      </c>
      <c r="J46" s="5">
        <v>3</v>
      </c>
      <c r="K46" s="6">
        <v>106242</v>
      </c>
      <c r="L46" s="6">
        <v>12749</v>
      </c>
      <c r="M46" s="6">
        <v>2444</v>
      </c>
      <c r="N46" s="6">
        <f t="shared" si="3"/>
        <v>91049</v>
      </c>
      <c r="O46" s="5">
        <v>0</v>
      </c>
      <c r="P46" s="7" t="s">
        <v>46</v>
      </c>
    </row>
    <row r="47" spans="2:16" ht="27" customHeight="1">
      <c r="B47" s="65">
        <v>46008</v>
      </c>
      <c r="C47" s="63">
        <v>46013</v>
      </c>
      <c r="D47" s="5">
        <v>5</v>
      </c>
      <c r="E47" s="5">
        <f t="shared" si="2"/>
        <v>15</v>
      </c>
      <c r="F47" s="5" t="s">
        <v>119</v>
      </c>
      <c r="G47" s="5" t="s">
        <v>71</v>
      </c>
      <c r="H47" s="5">
        <v>1</v>
      </c>
      <c r="I47" s="5" t="s">
        <v>287</v>
      </c>
      <c r="J47" s="5">
        <v>3</v>
      </c>
      <c r="K47" s="6">
        <v>192168</v>
      </c>
      <c r="L47" s="6">
        <v>23060</v>
      </c>
      <c r="M47" s="6">
        <v>4420</v>
      </c>
      <c r="N47" s="6">
        <f t="shared" si="3"/>
        <v>164688</v>
      </c>
      <c r="O47" s="5">
        <v>0</v>
      </c>
      <c r="P47" s="7" t="s">
        <v>46</v>
      </c>
    </row>
    <row r="48" spans="2:16" ht="27" customHeight="1">
      <c r="B48" s="65">
        <v>46004</v>
      </c>
      <c r="C48" s="63">
        <v>46005</v>
      </c>
      <c r="D48" s="5">
        <v>1</v>
      </c>
      <c r="E48" s="5">
        <f t="shared" si="2"/>
        <v>3</v>
      </c>
      <c r="F48" s="5" t="s">
        <v>119</v>
      </c>
      <c r="G48" s="5" t="s">
        <v>54</v>
      </c>
      <c r="H48" s="5">
        <v>1</v>
      </c>
      <c r="I48" s="5" t="s">
        <v>288</v>
      </c>
      <c r="J48" s="5">
        <v>3</v>
      </c>
      <c r="K48" s="6">
        <v>27806</v>
      </c>
      <c r="L48" s="6">
        <v>3337</v>
      </c>
      <c r="M48" s="6">
        <v>640</v>
      </c>
      <c r="N48" s="6">
        <f t="shared" si="3"/>
        <v>23829</v>
      </c>
      <c r="O48" s="5">
        <v>0</v>
      </c>
      <c r="P48" s="7" t="s">
        <v>46</v>
      </c>
    </row>
    <row r="49" spans="2:16" ht="27" customHeight="1">
      <c r="B49" s="65">
        <v>46002</v>
      </c>
      <c r="C49" s="63">
        <v>46005</v>
      </c>
      <c r="D49" s="5">
        <v>3</v>
      </c>
      <c r="E49" s="5">
        <f t="shared" si="2"/>
        <v>6</v>
      </c>
      <c r="F49" s="5" t="s">
        <v>119</v>
      </c>
      <c r="G49" s="5" t="s">
        <v>49</v>
      </c>
      <c r="H49" s="5">
        <v>1</v>
      </c>
      <c r="I49" s="5" t="s">
        <v>289</v>
      </c>
      <c r="J49" s="5">
        <v>2</v>
      </c>
      <c r="K49" s="6">
        <v>86620</v>
      </c>
      <c r="L49" s="6">
        <v>10394</v>
      </c>
      <c r="M49" s="6">
        <v>1992</v>
      </c>
      <c r="N49" s="6">
        <f t="shared" si="3"/>
        <v>74234</v>
      </c>
      <c r="O49" s="5">
        <v>0</v>
      </c>
      <c r="P49" s="7" t="s">
        <v>46</v>
      </c>
    </row>
    <row r="50" spans="2:16" ht="27" customHeight="1">
      <c r="B50" s="65">
        <v>45999</v>
      </c>
      <c r="C50" s="63">
        <v>46002</v>
      </c>
      <c r="D50" s="5">
        <v>3</v>
      </c>
      <c r="E50" s="5">
        <f t="shared" si="2"/>
        <v>6</v>
      </c>
      <c r="F50" s="5" t="s">
        <v>119</v>
      </c>
      <c r="G50" s="5" t="s">
        <v>49</v>
      </c>
      <c r="H50" s="5">
        <v>1</v>
      </c>
      <c r="I50" s="5" t="s">
        <v>290</v>
      </c>
      <c r="J50" s="5">
        <v>2</v>
      </c>
      <c r="K50" s="6">
        <v>42140</v>
      </c>
      <c r="L50" s="6">
        <v>5057</v>
      </c>
      <c r="M50" s="6">
        <v>969</v>
      </c>
      <c r="N50" s="6">
        <f t="shared" si="3"/>
        <v>36114</v>
      </c>
      <c r="O50" s="5">
        <v>0</v>
      </c>
      <c r="P50" s="7" t="s">
        <v>46</v>
      </c>
    </row>
    <row r="51" spans="2:16" ht="27" customHeight="1">
      <c r="B51" s="65">
        <v>45998</v>
      </c>
      <c r="C51" s="63">
        <v>46000</v>
      </c>
      <c r="D51" s="5">
        <v>2</v>
      </c>
      <c r="E51" s="5">
        <f t="shared" si="2"/>
        <v>8</v>
      </c>
      <c r="F51" s="5" t="s">
        <v>119</v>
      </c>
      <c r="G51" s="5" t="s">
        <v>56</v>
      </c>
      <c r="H51" s="5">
        <v>1</v>
      </c>
      <c r="I51" s="5" t="s">
        <v>291</v>
      </c>
      <c r="J51" s="5">
        <v>4</v>
      </c>
      <c r="K51" s="6">
        <v>66000</v>
      </c>
      <c r="L51" s="6">
        <v>7920</v>
      </c>
      <c r="M51" s="6">
        <v>1518</v>
      </c>
      <c r="N51" s="6">
        <f t="shared" si="3"/>
        <v>56562</v>
      </c>
      <c r="O51" s="5">
        <v>0</v>
      </c>
      <c r="P51" s="7" t="s">
        <v>46</v>
      </c>
    </row>
    <row r="52" spans="2:16" ht="27" customHeight="1">
      <c r="B52" s="65">
        <v>45996</v>
      </c>
      <c r="C52" s="63">
        <v>45997</v>
      </c>
      <c r="D52" s="5">
        <v>1</v>
      </c>
      <c r="E52" s="5">
        <f t="shared" si="2"/>
        <v>2</v>
      </c>
      <c r="F52" s="5" t="s">
        <v>119</v>
      </c>
      <c r="G52" s="5" t="s">
        <v>43</v>
      </c>
      <c r="H52" s="5">
        <v>1</v>
      </c>
      <c r="I52" s="5" t="s">
        <v>292</v>
      </c>
      <c r="J52" s="5">
        <v>2</v>
      </c>
      <c r="K52" s="6">
        <v>21519</v>
      </c>
      <c r="L52" s="6">
        <v>2582</v>
      </c>
      <c r="M52" s="6">
        <v>495</v>
      </c>
      <c r="N52" s="6">
        <f t="shared" si="3"/>
        <v>18442</v>
      </c>
      <c r="O52" s="5">
        <v>0</v>
      </c>
      <c r="P52" s="7" t="s">
        <v>46</v>
      </c>
    </row>
    <row r="53" spans="2:16" ht="27" customHeight="1">
      <c r="B53" s="65">
        <v>45993</v>
      </c>
      <c r="C53" s="63">
        <v>45998</v>
      </c>
      <c r="D53" s="5">
        <v>5</v>
      </c>
      <c r="E53" s="5">
        <f t="shared" si="2"/>
        <v>10</v>
      </c>
      <c r="F53" s="5" t="s">
        <v>119</v>
      </c>
      <c r="G53" s="5" t="s">
        <v>54</v>
      </c>
      <c r="H53" s="5">
        <v>1</v>
      </c>
      <c r="I53" s="5" t="s">
        <v>293</v>
      </c>
      <c r="J53" s="5">
        <v>2</v>
      </c>
      <c r="K53" s="6">
        <v>128000</v>
      </c>
      <c r="L53" s="6">
        <v>15360</v>
      </c>
      <c r="M53" s="6">
        <v>2944</v>
      </c>
      <c r="N53" s="6">
        <f t="shared" si="3"/>
        <v>109696</v>
      </c>
      <c r="O53" s="5">
        <v>0</v>
      </c>
      <c r="P53" s="7" t="s">
        <v>46</v>
      </c>
    </row>
    <row r="54" spans="2:16" ht="27" customHeight="1">
      <c r="B54" s="65">
        <v>45991</v>
      </c>
      <c r="C54" s="63">
        <v>45995</v>
      </c>
      <c r="D54" s="5">
        <v>4</v>
      </c>
      <c r="E54" s="5">
        <f t="shared" si="2"/>
        <v>8</v>
      </c>
      <c r="F54" s="5" t="s">
        <v>119</v>
      </c>
      <c r="G54" s="5" t="s">
        <v>49</v>
      </c>
      <c r="H54" s="5">
        <v>1</v>
      </c>
      <c r="I54" s="5" t="s">
        <v>294</v>
      </c>
      <c r="J54" s="5">
        <v>2</v>
      </c>
      <c r="K54" s="6">
        <v>86620</v>
      </c>
      <c r="L54" s="6">
        <v>10394</v>
      </c>
      <c r="M54" s="6">
        <v>1992</v>
      </c>
      <c r="N54" s="6">
        <f t="shared" si="3"/>
        <v>74234</v>
      </c>
      <c r="O54" s="5">
        <v>0</v>
      </c>
      <c r="P54" s="7" t="s">
        <v>46</v>
      </c>
    </row>
    <row r="55" spans="2:16" ht="27" customHeight="1">
      <c r="B55" s="65">
        <v>45988</v>
      </c>
      <c r="C55" s="63">
        <v>45992</v>
      </c>
      <c r="D55" s="5">
        <v>4</v>
      </c>
      <c r="E55" s="5">
        <f t="shared" si="2"/>
        <v>12</v>
      </c>
      <c r="F55" s="5" t="s">
        <v>132</v>
      </c>
      <c r="G55" s="5" t="s">
        <v>49</v>
      </c>
      <c r="H55" s="5">
        <v>1</v>
      </c>
      <c r="I55" s="5" t="s">
        <v>295</v>
      </c>
      <c r="J55" s="5">
        <v>3</v>
      </c>
      <c r="K55" s="6">
        <v>123564</v>
      </c>
      <c r="L55" s="6">
        <v>21052</v>
      </c>
      <c r="M55" s="6">
        <v>0</v>
      </c>
      <c r="N55" s="6">
        <f t="shared" si="3"/>
        <v>102512</v>
      </c>
      <c r="O55" s="5">
        <v>0</v>
      </c>
      <c r="P55" s="7" t="s">
        <v>46</v>
      </c>
    </row>
    <row r="56" spans="2:16" ht="27" customHeight="1">
      <c r="B56" s="65">
        <v>45989</v>
      </c>
      <c r="C56" s="63">
        <v>45994</v>
      </c>
      <c r="D56" s="5">
        <v>5</v>
      </c>
      <c r="E56" s="5">
        <f t="shared" si="2"/>
        <v>10</v>
      </c>
      <c r="F56" s="5" t="s">
        <v>132</v>
      </c>
      <c r="G56" s="5" t="s">
        <v>54</v>
      </c>
      <c r="H56" s="5">
        <v>1</v>
      </c>
      <c r="I56" s="5" t="s">
        <v>296</v>
      </c>
      <c r="J56" s="5">
        <v>2</v>
      </c>
      <c r="K56" s="6">
        <v>130126</v>
      </c>
      <c r="L56" s="6">
        <v>22236</v>
      </c>
      <c r="M56" s="6">
        <v>0</v>
      </c>
      <c r="N56" s="6">
        <f t="shared" si="3"/>
        <v>107890</v>
      </c>
      <c r="O56" s="5">
        <v>0</v>
      </c>
      <c r="P56" s="7" t="s">
        <v>46</v>
      </c>
    </row>
    <row r="57" spans="2:16" ht="27" customHeight="1">
      <c r="B57" s="65">
        <v>45989</v>
      </c>
      <c r="C57" s="63">
        <v>45992</v>
      </c>
      <c r="D57" s="5">
        <v>3</v>
      </c>
      <c r="E57" s="5">
        <f t="shared" si="2"/>
        <v>9</v>
      </c>
      <c r="F57" s="5" t="s">
        <v>132</v>
      </c>
      <c r="G57" s="5" t="s">
        <v>71</v>
      </c>
      <c r="H57" s="5">
        <v>1</v>
      </c>
      <c r="I57" s="5" t="s">
        <v>297</v>
      </c>
      <c r="J57" s="5">
        <v>3</v>
      </c>
      <c r="K57" s="6">
        <v>106329</v>
      </c>
      <c r="L57" s="6">
        <v>19140</v>
      </c>
      <c r="M57" s="6">
        <v>0</v>
      </c>
      <c r="N57" s="6">
        <f t="shared" si="3"/>
        <v>87189</v>
      </c>
      <c r="O57" s="5">
        <v>0</v>
      </c>
      <c r="P57" s="7" t="s">
        <v>46</v>
      </c>
    </row>
    <row r="58" spans="2:16" ht="27" customHeight="1">
      <c r="B58" s="65">
        <v>45997</v>
      </c>
      <c r="C58" s="63">
        <v>46001</v>
      </c>
      <c r="D58" s="5">
        <v>4</v>
      </c>
      <c r="E58" s="5">
        <f t="shared" si="2"/>
        <v>12</v>
      </c>
      <c r="F58" s="5" t="s">
        <v>132</v>
      </c>
      <c r="G58" s="5" t="s">
        <v>71</v>
      </c>
      <c r="H58" s="5">
        <v>1</v>
      </c>
      <c r="I58" s="5" t="s">
        <v>298</v>
      </c>
      <c r="J58" s="5">
        <v>3</v>
      </c>
      <c r="K58" s="6">
        <v>109708</v>
      </c>
      <c r="L58" s="6">
        <v>18560</v>
      </c>
      <c r="M58" s="6">
        <v>0</v>
      </c>
      <c r="N58" s="6">
        <f t="shared" si="3"/>
        <v>91148</v>
      </c>
      <c r="O58" s="5">
        <v>0</v>
      </c>
      <c r="P58" s="7" t="s">
        <v>46</v>
      </c>
    </row>
    <row r="59" spans="2:16" ht="27" customHeight="1">
      <c r="B59" s="65">
        <v>46015</v>
      </c>
      <c r="C59" s="63">
        <v>46018</v>
      </c>
      <c r="D59" s="5">
        <v>3</v>
      </c>
      <c r="E59" s="5">
        <f t="shared" si="2"/>
        <v>15</v>
      </c>
      <c r="F59" s="5" t="s">
        <v>132</v>
      </c>
      <c r="G59" s="5" t="s">
        <v>71</v>
      </c>
      <c r="H59" s="5">
        <v>1</v>
      </c>
      <c r="I59" s="5" t="s">
        <v>299</v>
      </c>
      <c r="J59" s="5">
        <v>5</v>
      </c>
      <c r="K59" s="6">
        <v>65244</v>
      </c>
      <c r="L59" s="6">
        <v>10556</v>
      </c>
      <c r="M59" s="6">
        <v>0</v>
      </c>
      <c r="N59" s="6">
        <f t="shared" si="3"/>
        <v>54688</v>
      </c>
      <c r="O59" s="5">
        <v>0</v>
      </c>
      <c r="P59" s="7" t="s">
        <v>46</v>
      </c>
    </row>
    <row r="60" spans="2:16" ht="27" customHeight="1">
      <c r="B60" s="65">
        <v>46018</v>
      </c>
      <c r="C60" s="63">
        <v>46022</v>
      </c>
      <c r="D60" s="5">
        <v>4</v>
      </c>
      <c r="E60" s="5">
        <f t="shared" si="2"/>
        <v>8</v>
      </c>
      <c r="F60" s="5" t="s">
        <v>132</v>
      </c>
      <c r="G60" s="5" t="s">
        <v>49</v>
      </c>
      <c r="H60" s="5">
        <v>1</v>
      </c>
      <c r="I60" s="5" t="s">
        <v>300</v>
      </c>
      <c r="J60" s="5">
        <v>2</v>
      </c>
      <c r="K60" s="6">
        <v>111686</v>
      </c>
      <c r="L60" s="6">
        <v>18917</v>
      </c>
      <c r="M60" s="6">
        <v>0</v>
      </c>
      <c r="N60" s="6">
        <f t="shared" si="3"/>
        <v>92769</v>
      </c>
      <c r="O60" s="5">
        <v>0</v>
      </c>
      <c r="P60" s="7" t="s">
        <v>46</v>
      </c>
    </row>
    <row r="61" spans="2:16" ht="27" customHeight="1">
      <c r="B61" s="65">
        <v>46018</v>
      </c>
      <c r="C61" s="63">
        <v>46020</v>
      </c>
      <c r="D61" s="5">
        <v>2</v>
      </c>
      <c r="E61" s="5">
        <f t="shared" si="2"/>
        <v>8</v>
      </c>
      <c r="F61" s="5" t="s">
        <v>132</v>
      </c>
      <c r="G61" s="5" t="s">
        <v>71</v>
      </c>
      <c r="H61" s="5">
        <v>1</v>
      </c>
      <c r="I61" s="5" t="s">
        <v>301</v>
      </c>
      <c r="J61" s="5">
        <v>4</v>
      </c>
      <c r="K61" s="6">
        <v>60728</v>
      </c>
      <c r="L61" s="6">
        <v>9744</v>
      </c>
      <c r="M61" s="6">
        <v>0</v>
      </c>
      <c r="N61" s="6">
        <f t="shared" si="3"/>
        <v>50984</v>
      </c>
      <c r="O61" s="5">
        <v>0</v>
      </c>
      <c r="P61" s="7" t="s">
        <v>46</v>
      </c>
    </row>
    <row r="62" spans="2:16" ht="27" customHeight="1">
      <c r="B62" s="65">
        <v>46019</v>
      </c>
      <c r="C62" s="63">
        <v>46022</v>
      </c>
      <c r="D62" s="5">
        <v>3</v>
      </c>
      <c r="E62" s="5">
        <f t="shared" si="2"/>
        <v>9</v>
      </c>
      <c r="F62" s="5" t="s">
        <v>132</v>
      </c>
      <c r="G62" s="5" t="s">
        <v>49</v>
      </c>
      <c r="H62" s="5">
        <v>1</v>
      </c>
      <c r="I62" s="5" t="s">
        <v>302</v>
      </c>
      <c r="J62" s="5">
        <v>3</v>
      </c>
      <c r="K62" s="6">
        <v>107325</v>
      </c>
      <c r="L62" s="6">
        <v>18130</v>
      </c>
      <c r="M62" s="6">
        <v>0</v>
      </c>
      <c r="N62" s="6">
        <f t="shared" si="3"/>
        <v>89195</v>
      </c>
      <c r="O62" s="5">
        <v>0</v>
      </c>
      <c r="P62" s="7" t="s">
        <v>46</v>
      </c>
    </row>
    <row r="63" spans="2:16" ht="27" customHeight="1">
      <c r="B63" s="65">
        <v>45990</v>
      </c>
      <c r="C63" s="63">
        <v>45992</v>
      </c>
      <c r="D63" s="5">
        <v>2</v>
      </c>
      <c r="E63" s="5">
        <f t="shared" si="2"/>
        <v>4</v>
      </c>
      <c r="F63" s="5" t="s">
        <v>136</v>
      </c>
      <c r="G63" s="5" t="s">
        <v>49</v>
      </c>
      <c r="H63" s="5">
        <v>1</v>
      </c>
      <c r="I63" s="5" t="s">
        <v>303</v>
      </c>
      <c r="J63" s="5">
        <v>2</v>
      </c>
      <c r="K63" s="6">
        <v>50040</v>
      </c>
      <c r="L63" s="6">
        <v>6004</v>
      </c>
      <c r="M63" s="6">
        <v>0</v>
      </c>
      <c r="N63" s="6">
        <f t="shared" si="3"/>
        <v>44036</v>
      </c>
      <c r="O63" s="5">
        <v>0</v>
      </c>
      <c r="P63" s="7" t="s">
        <v>46</v>
      </c>
    </row>
    <row r="64" spans="2:16" ht="27" customHeight="1">
      <c r="B64" s="65">
        <v>45995</v>
      </c>
      <c r="C64" s="63">
        <v>45998</v>
      </c>
      <c r="D64" s="5">
        <v>3</v>
      </c>
      <c r="E64" s="5">
        <f t="shared" si="2"/>
        <v>6</v>
      </c>
      <c r="F64" s="5" t="s">
        <v>136</v>
      </c>
      <c r="G64" s="5" t="s">
        <v>49</v>
      </c>
      <c r="H64" s="5">
        <v>1</v>
      </c>
      <c r="I64" s="5" t="s">
        <v>304</v>
      </c>
      <c r="J64" s="5">
        <v>2</v>
      </c>
      <c r="K64" s="6">
        <v>66720</v>
      </c>
      <c r="L64" s="6">
        <v>8007</v>
      </c>
      <c r="M64" s="6">
        <v>0</v>
      </c>
      <c r="N64" s="6">
        <f t="shared" si="3"/>
        <v>58713</v>
      </c>
      <c r="O64" s="5">
        <v>0</v>
      </c>
      <c r="P64" s="7" t="s">
        <v>46</v>
      </c>
    </row>
    <row r="65" spans="2:16" ht="27" customHeight="1">
      <c r="B65" s="65">
        <v>46007</v>
      </c>
      <c r="C65" s="63">
        <v>46009</v>
      </c>
      <c r="D65" s="5">
        <v>2</v>
      </c>
      <c r="E65" s="5">
        <f t="shared" si="2"/>
        <v>4</v>
      </c>
      <c r="F65" s="5" t="s">
        <v>136</v>
      </c>
      <c r="G65" s="5" t="s">
        <v>54</v>
      </c>
      <c r="H65" s="5">
        <v>1</v>
      </c>
      <c r="I65" s="5" t="s">
        <v>305</v>
      </c>
      <c r="J65" s="5">
        <v>2</v>
      </c>
      <c r="K65" s="6">
        <v>33450</v>
      </c>
      <c r="L65" s="6">
        <v>3294</v>
      </c>
      <c r="M65" s="6">
        <v>0</v>
      </c>
      <c r="N65" s="6">
        <f t="shared" si="3"/>
        <v>30156</v>
      </c>
      <c r="O65" s="5">
        <v>0</v>
      </c>
      <c r="P65" s="7" t="s">
        <v>46</v>
      </c>
    </row>
    <row r="66" spans="2:16" ht="27" customHeight="1">
      <c r="B66" s="65">
        <v>46008</v>
      </c>
      <c r="C66" s="63">
        <v>46011</v>
      </c>
      <c r="D66" s="5">
        <v>3</v>
      </c>
      <c r="E66" s="5">
        <f t="shared" si="2"/>
        <v>12</v>
      </c>
      <c r="F66" s="5" t="s">
        <v>136</v>
      </c>
      <c r="G66" s="5" t="s">
        <v>56</v>
      </c>
      <c r="H66" s="5">
        <v>1</v>
      </c>
      <c r="I66" s="5" t="s">
        <v>306</v>
      </c>
      <c r="J66" s="5">
        <v>4</v>
      </c>
      <c r="K66" s="6">
        <v>93500</v>
      </c>
      <c r="L66" s="6">
        <v>10500</v>
      </c>
      <c r="M66" s="6">
        <v>0</v>
      </c>
      <c r="N66" s="6">
        <f t="shared" si="3"/>
        <v>83000</v>
      </c>
      <c r="O66" s="5">
        <v>0</v>
      </c>
      <c r="P66" s="7" t="s">
        <v>46</v>
      </c>
    </row>
    <row r="67" spans="2:16" ht="27" customHeight="1">
      <c r="B67" s="65">
        <v>46010</v>
      </c>
      <c r="C67" s="63">
        <v>46014</v>
      </c>
      <c r="D67" s="5">
        <v>4</v>
      </c>
      <c r="E67" s="5">
        <f t="shared" si="2"/>
        <v>16</v>
      </c>
      <c r="F67" s="5" t="s">
        <v>136</v>
      </c>
      <c r="G67" s="5" t="s">
        <v>43</v>
      </c>
      <c r="H67" s="5">
        <v>1</v>
      </c>
      <c r="I67" s="5" t="s">
        <v>307</v>
      </c>
      <c r="J67" s="5">
        <v>4</v>
      </c>
      <c r="K67" s="6">
        <v>183080</v>
      </c>
      <c r="L67" s="6">
        <v>21970</v>
      </c>
      <c r="M67" s="6">
        <v>0</v>
      </c>
      <c r="N67" s="6">
        <f t="shared" si="3"/>
        <v>161110</v>
      </c>
      <c r="O67" s="5">
        <v>0</v>
      </c>
      <c r="P67" s="7" t="s">
        <v>46</v>
      </c>
    </row>
    <row r="68" spans="2:16" ht="27" customHeight="1">
      <c r="B68" s="65">
        <v>46004</v>
      </c>
      <c r="C68" s="63">
        <v>46005</v>
      </c>
      <c r="D68" s="5">
        <v>1</v>
      </c>
      <c r="E68" s="5">
        <f t="shared" si="2"/>
        <v>2</v>
      </c>
      <c r="F68" s="5" t="s">
        <v>239</v>
      </c>
      <c r="G68" s="5" t="s">
        <v>54</v>
      </c>
      <c r="H68" s="5">
        <v>1</v>
      </c>
      <c r="I68" s="5" t="s">
        <v>308</v>
      </c>
      <c r="J68" s="5">
        <v>2</v>
      </c>
      <c r="K68" s="6">
        <v>21350</v>
      </c>
      <c r="L68" s="6">
        <v>11819</v>
      </c>
      <c r="M68" s="6">
        <f>3771+364</f>
        <v>4135</v>
      </c>
      <c r="N68" s="6">
        <v>89281</v>
      </c>
      <c r="O68" s="6">
        <v>2215</v>
      </c>
      <c r="P68" s="7" t="s">
        <v>46</v>
      </c>
    </row>
    <row r="69" spans="2:16" ht="27" customHeight="1">
      <c r="B69" s="65">
        <v>46010</v>
      </c>
      <c r="C69" s="63">
        <v>46011</v>
      </c>
      <c r="D69" s="5">
        <v>1</v>
      </c>
      <c r="E69" s="5">
        <f t="shared" si="2"/>
        <v>2</v>
      </c>
      <c r="F69" s="5" t="s">
        <v>239</v>
      </c>
      <c r="G69" s="5" t="s">
        <v>49</v>
      </c>
      <c r="H69" s="5">
        <v>1</v>
      </c>
      <c r="I69" s="5" t="s">
        <v>309</v>
      </c>
      <c r="J69" s="5">
        <v>2</v>
      </c>
      <c r="K69" s="6">
        <v>11120</v>
      </c>
      <c r="L69" s="6"/>
      <c r="M69" s="6"/>
      <c r="N69" s="6"/>
      <c r="O69" s="6"/>
      <c r="P69" s="7" t="s">
        <v>46</v>
      </c>
    </row>
    <row r="70" spans="2:16" ht="27" customHeight="1">
      <c r="B70" s="65">
        <v>46011</v>
      </c>
      <c r="C70" s="63">
        <v>46012</v>
      </c>
      <c r="D70" s="5">
        <v>1</v>
      </c>
      <c r="E70" s="5">
        <f t="shared" ref="E70:E84" si="4">D70*J70</f>
        <v>2</v>
      </c>
      <c r="F70" s="5" t="s">
        <v>239</v>
      </c>
      <c r="G70" s="5" t="s">
        <v>56</v>
      </c>
      <c r="H70" s="5">
        <v>1</v>
      </c>
      <c r="I70" s="5" t="s">
        <v>310</v>
      </c>
      <c r="J70" s="5">
        <v>2</v>
      </c>
      <c r="K70" s="6">
        <v>12200</v>
      </c>
      <c r="L70" s="6"/>
      <c r="M70" s="6"/>
      <c r="N70" s="6"/>
      <c r="O70" s="6"/>
      <c r="P70" s="7" t="s">
        <v>46</v>
      </c>
    </row>
    <row r="71" spans="2:16" ht="27" customHeight="1">
      <c r="B71" s="65">
        <v>46014</v>
      </c>
      <c r="C71" s="63">
        <v>46015</v>
      </c>
      <c r="D71" s="5">
        <v>1</v>
      </c>
      <c r="E71" s="5">
        <f t="shared" si="4"/>
        <v>2</v>
      </c>
      <c r="F71" s="5" t="s">
        <v>239</v>
      </c>
      <c r="G71" s="5" t="s">
        <v>49</v>
      </c>
      <c r="H71" s="5">
        <v>1</v>
      </c>
      <c r="I71" s="5" t="s">
        <v>311</v>
      </c>
      <c r="J71" s="5">
        <v>2</v>
      </c>
      <c r="K71" s="6">
        <v>11120</v>
      </c>
      <c r="L71" s="6"/>
      <c r="M71" s="6"/>
      <c r="N71" s="6"/>
      <c r="O71" s="6"/>
      <c r="P71" s="7" t="s">
        <v>46</v>
      </c>
    </row>
    <row r="72" spans="2:16" ht="27" customHeight="1">
      <c r="B72" s="65">
        <v>46015</v>
      </c>
      <c r="C72" s="63">
        <v>46016</v>
      </c>
      <c r="D72" s="5">
        <v>1</v>
      </c>
      <c r="E72" s="5">
        <f t="shared" si="4"/>
        <v>2</v>
      </c>
      <c r="F72" s="5" t="s">
        <v>239</v>
      </c>
      <c r="G72" s="5" t="s">
        <v>54</v>
      </c>
      <c r="H72" s="5">
        <v>1</v>
      </c>
      <c r="I72" s="5" t="s">
        <v>312</v>
      </c>
      <c r="J72" s="5">
        <v>2</v>
      </c>
      <c r="K72" s="6">
        <v>18300</v>
      </c>
      <c r="L72" s="6"/>
      <c r="M72" s="6"/>
      <c r="N72" s="6"/>
      <c r="O72" s="6"/>
      <c r="P72" s="7" t="s">
        <v>46</v>
      </c>
    </row>
    <row r="73" spans="2:16" ht="27" customHeight="1">
      <c r="B73" s="65">
        <v>46016</v>
      </c>
      <c r="C73" s="63">
        <v>46018</v>
      </c>
      <c r="D73" s="5">
        <v>2</v>
      </c>
      <c r="E73" s="5">
        <f t="shared" si="4"/>
        <v>4</v>
      </c>
      <c r="F73" s="5" t="s">
        <v>239</v>
      </c>
      <c r="G73" s="5" t="s">
        <v>49</v>
      </c>
      <c r="H73" s="5">
        <v>1</v>
      </c>
      <c r="I73" s="5" t="s">
        <v>313</v>
      </c>
      <c r="J73" s="5">
        <v>2</v>
      </c>
      <c r="K73" s="6">
        <v>22240</v>
      </c>
      <c r="L73" s="6"/>
      <c r="M73" s="6"/>
      <c r="N73" s="6"/>
      <c r="O73" s="6"/>
      <c r="P73" s="7" t="s">
        <v>46</v>
      </c>
    </row>
    <row r="74" spans="2:16" ht="27" customHeight="1">
      <c r="B74" s="65">
        <v>46018</v>
      </c>
      <c r="C74" s="63">
        <v>46019</v>
      </c>
      <c r="D74" s="5">
        <v>1</v>
      </c>
      <c r="E74" s="5">
        <f t="shared" si="4"/>
        <v>2</v>
      </c>
      <c r="F74" s="5" t="s">
        <v>239</v>
      </c>
      <c r="G74" s="5" t="s">
        <v>49</v>
      </c>
      <c r="H74" s="5">
        <v>1</v>
      </c>
      <c r="I74" s="5" t="s">
        <v>314</v>
      </c>
      <c r="J74" s="5">
        <v>2</v>
      </c>
      <c r="K74" s="6">
        <v>11120</v>
      </c>
      <c r="L74" s="6"/>
      <c r="M74" s="6"/>
      <c r="N74" s="6"/>
      <c r="O74" s="6"/>
      <c r="P74" s="7" t="s">
        <v>46</v>
      </c>
    </row>
    <row r="75" spans="2:16" ht="27" customHeight="1">
      <c r="B75" s="65">
        <v>46004</v>
      </c>
      <c r="C75" s="63">
        <v>46005</v>
      </c>
      <c r="D75" s="5">
        <v>1</v>
      </c>
      <c r="E75" s="5">
        <f t="shared" si="4"/>
        <v>3</v>
      </c>
      <c r="F75" s="5" t="s">
        <v>315</v>
      </c>
      <c r="G75" s="5" t="s">
        <v>71</v>
      </c>
      <c r="H75" s="5">
        <v>1</v>
      </c>
      <c r="I75" s="5" t="s">
        <v>316</v>
      </c>
      <c r="J75" s="5">
        <v>3</v>
      </c>
      <c r="K75" s="6">
        <v>35682</v>
      </c>
      <c r="L75" s="6">
        <v>8361</v>
      </c>
      <c r="M75" s="6">
        <v>0</v>
      </c>
      <c r="N75" s="6">
        <f>K75-L75-O75</f>
        <v>26477</v>
      </c>
      <c r="O75" s="5">
        <v>844</v>
      </c>
      <c r="P75" s="7" t="s">
        <v>317</v>
      </c>
    </row>
    <row r="76" spans="2:16" ht="27" customHeight="1">
      <c r="B76" s="65">
        <v>46010</v>
      </c>
      <c r="C76" s="63">
        <v>46012</v>
      </c>
      <c r="D76" s="5">
        <v>2</v>
      </c>
      <c r="E76" s="5">
        <f t="shared" si="4"/>
        <v>4</v>
      </c>
      <c r="F76" s="5" t="s">
        <v>315</v>
      </c>
      <c r="G76" s="5" t="s">
        <v>54</v>
      </c>
      <c r="H76" s="5">
        <v>1</v>
      </c>
      <c r="I76" s="5" t="s">
        <v>318</v>
      </c>
      <c r="J76" s="5">
        <v>2</v>
      </c>
      <c r="K76" s="6">
        <v>24400</v>
      </c>
      <c r="L76" s="6"/>
      <c r="M76" s="6">
        <v>0</v>
      </c>
      <c r="N76" s="6">
        <f>K76</f>
        <v>24400</v>
      </c>
      <c r="O76" s="5"/>
      <c r="P76" s="7" t="s">
        <v>317</v>
      </c>
    </row>
    <row r="77" spans="2:16" ht="27" customHeight="1">
      <c r="B77" s="3">
        <v>45991</v>
      </c>
      <c r="C77" s="4">
        <v>45993</v>
      </c>
      <c r="D77" s="5">
        <v>2</v>
      </c>
      <c r="E77" s="5">
        <f t="shared" si="4"/>
        <v>4</v>
      </c>
      <c r="F77" s="5" t="s">
        <v>319</v>
      </c>
      <c r="G77" s="5" t="s">
        <v>320</v>
      </c>
      <c r="H77" s="5">
        <v>1</v>
      </c>
      <c r="I77" s="5" t="s">
        <v>507</v>
      </c>
      <c r="J77" s="5">
        <v>2</v>
      </c>
      <c r="K77" s="6">
        <v>52000</v>
      </c>
      <c r="L77" s="6"/>
      <c r="M77" s="6"/>
      <c r="N77" s="6"/>
      <c r="O77" s="5"/>
      <c r="P77" s="7" t="s">
        <v>46</v>
      </c>
    </row>
    <row r="78" spans="2:16" ht="27" customHeight="1">
      <c r="B78" s="3">
        <v>45991</v>
      </c>
      <c r="C78" s="4">
        <v>45995</v>
      </c>
      <c r="D78" s="5">
        <v>4</v>
      </c>
      <c r="E78" s="5">
        <f t="shared" si="4"/>
        <v>12</v>
      </c>
      <c r="F78" s="5" t="s">
        <v>319</v>
      </c>
      <c r="G78" s="5" t="s">
        <v>321</v>
      </c>
      <c r="H78" s="5">
        <v>1</v>
      </c>
      <c r="I78" s="5" t="s">
        <v>508</v>
      </c>
      <c r="J78" s="5">
        <v>3</v>
      </c>
      <c r="K78" s="6">
        <v>144000</v>
      </c>
      <c r="L78" s="6"/>
      <c r="M78" s="6"/>
      <c r="N78" s="6"/>
      <c r="O78" s="5"/>
      <c r="P78" s="7" t="s">
        <v>46</v>
      </c>
    </row>
    <row r="79" spans="2:16" ht="27" customHeight="1">
      <c r="B79" s="3">
        <v>45995</v>
      </c>
      <c r="C79" s="4">
        <v>45997</v>
      </c>
      <c r="D79" s="5">
        <v>2</v>
      </c>
      <c r="E79" s="5">
        <f t="shared" si="4"/>
        <v>6</v>
      </c>
      <c r="F79" s="5" t="s">
        <v>319</v>
      </c>
      <c r="G79" s="5" t="s">
        <v>321</v>
      </c>
      <c r="H79" s="5">
        <v>1</v>
      </c>
      <c r="I79" s="5" t="s">
        <v>509</v>
      </c>
      <c r="J79" s="5">
        <v>3</v>
      </c>
      <c r="K79" s="6">
        <v>72000</v>
      </c>
      <c r="L79" s="6"/>
      <c r="M79" s="6"/>
      <c r="N79" s="6"/>
      <c r="O79" s="5"/>
      <c r="P79" s="7" t="s">
        <v>46</v>
      </c>
    </row>
    <row r="80" spans="2:16" ht="27" customHeight="1">
      <c r="B80" s="3">
        <v>45991</v>
      </c>
      <c r="C80" s="4">
        <v>45993</v>
      </c>
      <c r="D80" s="5">
        <v>2</v>
      </c>
      <c r="E80" s="5">
        <f t="shared" si="4"/>
        <v>8</v>
      </c>
      <c r="F80" s="5" t="s">
        <v>319</v>
      </c>
      <c r="G80" s="5" t="s">
        <v>322</v>
      </c>
      <c r="H80" s="5">
        <v>1</v>
      </c>
      <c r="I80" s="5" t="s">
        <v>511</v>
      </c>
      <c r="J80" s="5">
        <v>4</v>
      </c>
      <c r="K80" s="6">
        <v>104000</v>
      </c>
      <c r="L80" s="6"/>
      <c r="M80" s="6"/>
      <c r="N80" s="6"/>
      <c r="O80" s="5"/>
      <c r="P80" s="7" t="s">
        <v>46</v>
      </c>
    </row>
    <row r="81" spans="2:16" ht="27" customHeight="1">
      <c r="B81" s="3">
        <v>45998</v>
      </c>
      <c r="C81" s="4">
        <v>46000</v>
      </c>
      <c r="D81" s="5">
        <v>2</v>
      </c>
      <c r="E81" s="5">
        <f t="shared" si="4"/>
        <v>4</v>
      </c>
      <c r="F81" s="5" t="s">
        <v>319</v>
      </c>
      <c r="G81" s="5" t="s">
        <v>323</v>
      </c>
      <c r="H81" s="5">
        <v>1</v>
      </c>
      <c r="I81" s="5" t="s">
        <v>512</v>
      </c>
      <c r="J81" s="5">
        <v>2</v>
      </c>
      <c r="K81" s="6">
        <v>50000</v>
      </c>
      <c r="L81" s="6"/>
      <c r="M81" s="6"/>
      <c r="N81" s="6"/>
      <c r="O81" s="5"/>
      <c r="P81" s="7" t="s">
        <v>46</v>
      </c>
    </row>
    <row r="82" spans="2:16" ht="27" customHeight="1">
      <c r="B82" s="3">
        <v>45999</v>
      </c>
      <c r="C82" s="4">
        <v>46002</v>
      </c>
      <c r="D82" s="5">
        <v>3</v>
      </c>
      <c r="E82" s="5">
        <f t="shared" si="4"/>
        <v>6</v>
      </c>
      <c r="F82" s="5" t="s">
        <v>319</v>
      </c>
      <c r="G82" s="5" t="s">
        <v>321</v>
      </c>
      <c r="H82" s="5">
        <v>1</v>
      </c>
      <c r="I82" s="5" t="s">
        <v>514</v>
      </c>
      <c r="J82" s="5">
        <v>2</v>
      </c>
      <c r="K82" s="6">
        <v>72000</v>
      </c>
      <c r="L82" s="6"/>
      <c r="M82" s="6"/>
      <c r="N82" s="6"/>
      <c r="O82" s="5"/>
      <c r="P82" s="7" t="s">
        <v>46</v>
      </c>
    </row>
    <row r="83" spans="2:16" ht="27" customHeight="1">
      <c r="B83" s="3">
        <v>46000</v>
      </c>
      <c r="C83" s="4">
        <v>46003</v>
      </c>
      <c r="D83" s="5">
        <v>3</v>
      </c>
      <c r="E83" s="5">
        <f t="shared" si="4"/>
        <v>12</v>
      </c>
      <c r="F83" s="5" t="s">
        <v>319</v>
      </c>
      <c r="G83" s="5" t="s">
        <v>322</v>
      </c>
      <c r="H83" s="5">
        <v>1</v>
      </c>
      <c r="I83" s="5" t="s">
        <v>515</v>
      </c>
      <c r="J83" s="5">
        <v>4</v>
      </c>
      <c r="K83" s="6">
        <v>144000</v>
      </c>
      <c r="L83" s="6"/>
      <c r="M83" s="6"/>
      <c r="N83" s="6"/>
      <c r="O83" s="5"/>
      <c r="P83" s="7" t="s">
        <v>46</v>
      </c>
    </row>
    <row r="84" spans="2:16" ht="27" customHeight="1">
      <c r="B84" s="3">
        <v>46006</v>
      </c>
      <c r="C84" s="4">
        <v>46009</v>
      </c>
      <c r="D84" s="5">
        <v>3</v>
      </c>
      <c r="E84" s="5">
        <f t="shared" si="4"/>
        <v>6</v>
      </c>
      <c r="F84" s="5" t="s">
        <v>324</v>
      </c>
      <c r="G84" s="5" t="s">
        <v>320</v>
      </c>
      <c r="H84" s="5">
        <v>1</v>
      </c>
      <c r="I84" s="5" t="s">
        <v>517</v>
      </c>
      <c r="J84" s="5">
        <v>2</v>
      </c>
      <c r="K84" s="6">
        <v>78000</v>
      </c>
      <c r="L84" s="6"/>
      <c r="M84" s="6"/>
      <c r="N84" s="6"/>
      <c r="O84" s="5"/>
      <c r="P84" s="7" t="s">
        <v>46</v>
      </c>
    </row>
    <row r="85" spans="2:16" ht="27" customHeight="1">
      <c r="B85" s="3">
        <v>46014</v>
      </c>
      <c r="C85" s="4">
        <v>46015</v>
      </c>
      <c r="D85" s="5">
        <v>1</v>
      </c>
      <c r="E85" s="5">
        <f>D85*J85</f>
        <v>2</v>
      </c>
      <c r="F85" s="5" t="s">
        <v>330</v>
      </c>
      <c r="G85" s="5" t="s">
        <v>320</v>
      </c>
      <c r="H85" s="5">
        <v>1</v>
      </c>
      <c r="I85" s="5"/>
      <c r="J85" s="5">
        <v>2</v>
      </c>
      <c r="K85" s="6">
        <v>26000</v>
      </c>
      <c r="L85" s="6"/>
      <c r="M85" s="6"/>
      <c r="N85" s="6"/>
      <c r="O85" s="5"/>
      <c r="P85" s="7" t="s">
        <v>46</v>
      </c>
    </row>
    <row r="86" spans="2:16" ht="27" customHeight="1">
      <c r="B86" s="3">
        <v>46006</v>
      </c>
      <c r="C86" s="4">
        <v>46008</v>
      </c>
      <c r="D86" s="5">
        <v>2</v>
      </c>
      <c r="E86" s="5">
        <f t="shared" ref="E86" si="5">D86*J86</f>
        <v>4</v>
      </c>
      <c r="F86" s="5" t="s">
        <v>330</v>
      </c>
      <c r="G86" s="5" t="s">
        <v>320</v>
      </c>
      <c r="H86" s="5">
        <v>1</v>
      </c>
      <c r="I86" s="5"/>
      <c r="J86" s="5">
        <v>2</v>
      </c>
      <c r="K86" s="6">
        <v>48000</v>
      </c>
      <c r="L86" s="6"/>
      <c r="M86" s="6"/>
      <c r="N86" s="6"/>
      <c r="O86" s="5"/>
      <c r="P86" s="7" t="s">
        <v>46</v>
      </c>
    </row>
    <row r="87" spans="2:16" ht="27" customHeight="1" thickBot="1">
      <c r="B87" s="8">
        <v>46014</v>
      </c>
      <c r="C87" s="9">
        <v>46015</v>
      </c>
      <c r="D87" s="10">
        <v>1</v>
      </c>
      <c r="E87" s="10">
        <f>D87*J87</f>
        <v>3</v>
      </c>
      <c r="F87" s="10" t="s">
        <v>324</v>
      </c>
      <c r="G87" s="10" t="s">
        <v>325</v>
      </c>
      <c r="H87" s="10">
        <v>1</v>
      </c>
      <c r="I87" s="10" t="s">
        <v>516</v>
      </c>
      <c r="J87" s="10">
        <v>3</v>
      </c>
      <c r="K87" s="11">
        <v>39000</v>
      </c>
      <c r="L87" s="11"/>
      <c r="M87" s="11"/>
      <c r="N87" s="11"/>
      <c r="O87" s="10"/>
      <c r="P87" s="12" t="s">
        <v>46</v>
      </c>
    </row>
  </sheetData>
  <autoFilter ref="B3:P3" xr:uid="{E55D5EB5-3732-034C-8AA7-0889BA2796D8}"/>
  <phoneticPr fontId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FC9-DDE6-A545-8705-3B94BF7CC66C}">
  <sheetPr>
    <tabColor theme="8" tint="0.79998168889431442"/>
    <pageSetUpPr fitToPage="1"/>
  </sheetPr>
  <dimension ref="B2:W30"/>
  <sheetViews>
    <sheetView zoomScale="69" workbookViewId="0">
      <selection activeCell="B2" sqref="B2:W29"/>
    </sheetView>
  </sheetViews>
  <sheetFormatPr baseColWidth="10" defaultColWidth="9.33203125" defaultRowHeight="15"/>
  <cols>
    <col min="1" max="1" width="5.83203125" style="96" customWidth="1"/>
    <col min="2" max="2" width="33.6640625" style="96" customWidth="1"/>
    <col min="3" max="3" width="15" style="75" customWidth="1"/>
    <col min="4" max="4" width="1.1640625" style="96" customWidth="1"/>
    <col min="5" max="8" width="15.83203125" style="96" customWidth="1"/>
    <col min="9" max="9" width="1.5" style="96" customWidth="1"/>
    <col min="10" max="10" width="9.33203125" style="96"/>
    <col min="11" max="11" width="15" style="96" customWidth="1"/>
    <col min="12" max="13" width="8.6640625" style="96" customWidth="1"/>
    <col min="14" max="14" width="8.6640625" style="96" hidden="1" customWidth="1"/>
    <col min="15" max="15" width="14.6640625" style="96" customWidth="1"/>
    <col min="16" max="16" width="10.33203125" style="96" customWidth="1"/>
    <col min="17" max="17" width="9.33203125" style="96"/>
    <col min="18" max="18" width="8.83203125" style="96" customWidth="1"/>
    <col min="19" max="19" width="10.33203125" style="96" customWidth="1"/>
    <col min="20" max="23" width="13.33203125" style="96" customWidth="1"/>
    <col min="24" max="16384" width="9.33203125" style="96"/>
  </cols>
  <sheetData>
    <row r="2" spans="2:23" ht="39">
      <c r="B2" s="440" t="s">
        <v>506</v>
      </c>
      <c r="C2" s="441"/>
      <c r="D2" s="441"/>
      <c r="E2" s="442"/>
      <c r="F2" s="442"/>
      <c r="G2" s="442"/>
      <c r="H2" s="443"/>
      <c r="J2" s="101" t="s">
        <v>499</v>
      </c>
      <c r="K2" s="102" t="s">
        <v>500</v>
      </c>
      <c r="L2" s="103" t="s">
        <v>476</v>
      </c>
      <c r="M2" s="10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74" t="s">
        <v>465</v>
      </c>
      <c r="C3" s="74"/>
      <c r="D3" s="75"/>
      <c r="E3" s="76" t="s">
        <v>466</v>
      </c>
      <c r="F3" s="77"/>
      <c r="G3" s="77"/>
      <c r="H3" s="78"/>
      <c r="J3" s="109">
        <v>101</v>
      </c>
      <c r="K3" s="446">
        <f>R3/Q3</f>
        <v>2.087912087912088</v>
      </c>
      <c r="L3" s="450">
        <v>3</v>
      </c>
      <c r="M3" s="452">
        <v>29.9</v>
      </c>
      <c r="N3" s="110">
        <f>L3*M3</f>
        <v>89.699999999999989</v>
      </c>
      <c r="O3" s="454">
        <v>2376053</v>
      </c>
      <c r="P3" s="456">
        <f>Q3/(L3*C22)*100%</f>
        <v>0.978494623655914</v>
      </c>
      <c r="Q3" s="460">
        <v>91</v>
      </c>
      <c r="R3" s="460">
        <v>190</v>
      </c>
      <c r="S3" s="460">
        <f>L3*C22</f>
        <v>93</v>
      </c>
      <c r="T3" s="454">
        <f>O3/Q3</f>
        <v>26110.472527472528</v>
      </c>
      <c r="U3" s="454">
        <f>O3/R3</f>
        <v>12505.542105263157</v>
      </c>
      <c r="V3" s="454">
        <f>O3/S3</f>
        <v>25548.956989247312</v>
      </c>
      <c r="W3" s="462">
        <f>IFERROR(O3/(N3*C22),0)</f>
        <v>854.48016686445862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45992</v>
      </c>
      <c r="D5" s="75"/>
      <c r="E5" s="84" t="s">
        <v>96</v>
      </c>
      <c r="F5" s="86">
        <v>1185190</v>
      </c>
      <c r="G5" s="87">
        <v>14</v>
      </c>
      <c r="H5" s="88">
        <f t="shared" ref="H5:H13" si="0">IFERROR(F5/$F$13,0)</f>
        <v>0.16333516349640528</v>
      </c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46022</v>
      </c>
      <c r="D6" s="75"/>
      <c r="E6" s="84" t="s">
        <v>119</v>
      </c>
      <c r="F6" s="86">
        <v>1210694</v>
      </c>
      <c r="G6" s="87">
        <v>14</v>
      </c>
      <c r="H6" s="88">
        <f t="shared" si="0"/>
        <v>0.1668499586008293</v>
      </c>
      <c r="J6" s="111">
        <v>102</v>
      </c>
      <c r="K6" s="449">
        <f>R6/Q6</f>
        <v>2.2586206896551726</v>
      </c>
      <c r="L6" s="451">
        <v>2</v>
      </c>
      <c r="M6" s="453">
        <v>36.700000000000003</v>
      </c>
      <c r="N6" s="87">
        <f>L6*M6</f>
        <v>73.400000000000006</v>
      </c>
      <c r="O6" s="455">
        <v>1598781</v>
      </c>
      <c r="P6" s="459">
        <f>Q6/S6*100%</f>
        <v>0.93548387096774188</v>
      </c>
      <c r="Q6" s="461">
        <v>58</v>
      </c>
      <c r="R6" s="461">
        <v>131</v>
      </c>
      <c r="S6" s="461">
        <f>L6*C22</f>
        <v>62</v>
      </c>
      <c r="T6" s="455">
        <f>O6/Q6</f>
        <v>27565.189655172413</v>
      </c>
      <c r="U6" s="455">
        <f>O6/R6</f>
        <v>12204.435114503816</v>
      </c>
      <c r="V6" s="455">
        <f>O6/S6</f>
        <v>25786.790322580644</v>
      </c>
      <c r="W6" s="463">
        <f>IFERROR(O6/(N6*C22),0)</f>
        <v>702.63733848993581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2622268</v>
      </c>
      <c r="G7" s="87">
        <v>23</v>
      </c>
      <c r="H7" s="88">
        <f t="shared" si="0"/>
        <v>0.36138388993443388</v>
      </c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814710</v>
      </c>
      <c r="G8" s="87">
        <v>8</v>
      </c>
      <c r="H8" s="88">
        <f t="shared" si="0"/>
        <v>0.11227802382078514</v>
      </c>
      <c r="J8" s="111">
        <v>202</v>
      </c>
      <c r="K8" s="449">
        <f>R8/Q8</f>
        <v>3.0612244897959182</v>
      </c>
      <c r="L8" s="451">
        <v>2</v>
      </c>
      <c r="M8" s="453">
        <v>43.1</v>
      </c>
      <c r="N8" s="87">
        <f>L8*M8</f>
        <v>86.2</v>
      </c>
      <c r="O8" s="455">
        <v>1523483</v>
      </c>
      <c r="P8" s="459">
        <f>Q8/S8*100%</f>
        <v>0.79032258064516125</v>
      </c>
      <c r="Q8" s="461">
        <v>49</v>
      </c>
      <c r="R8" s="461">
        <v>150</v>
      </c>
      <c r="S8" s="461">
        <f>L8*C22</f>
        <v>62</v>
      </c>
      <c r="T8" s="455">
        <f>O8/Q8</f>
        <v>31091.489795918369</v>
      </c>
      <c r="U8" s="455">
        <f>O8/R8</f>
        <v>10156.553333333333</v>
      </c>
      <c r="V8" s="455">
        <f>O8/S8</f>
        <v>24572.306451612902</v>
      </c>
      <c r="W8" s="463">
        <f>IFERROR(O8/(N8*C22),0)</f>
        <v>570.12311952698144</v>
      </c>
    </row>
    <row r="9" spans="2:23">
      <c r="B9" s="84" t="s">
        <v>477</v>
      </c>
      <c r="C9" s="91">
        <f>'2025年12月予約一覧表'!K2</f>
        <v>7256184</v>
      </c>
      <c r="D9" s="75"/>
      <c r="E9" s="84" t="s">
        <v>136</v>
      </c>
      <c r="F9" s="86">
        <v>426790</v>
      </c>
      <c r="G9" s="87">
        <v>5</v>
      </c>
      <c r="H9" s="88">
        <f t="shared" si="0"/>
        <v>5.8817416978400767E-2</v>
      </c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'2025年12月予約一覧表'!J2</f>
        <v>221</v>
      </c>
      <c r="D10" s="75"/>
      <c r="E10" s="90" t="s">
        <v>479</v>
      </c>
      <c r="F10" s="86">
        <v>60082</v>
      </c>
      <c r="G10" s="87">
        <v>2</v>
      </c>
      <c r="H10" s="88">
        <f t="shared" si="0"/>
        <v>8.2801097656840014E-3</v>
      </c>
      <c r="J10" s="111">
        <v>403</v>
      </c>
      <c r="K10" s="116">
        <f>R10/Q10</f>
        <v>3.347826086956522</v>
      </c>
      <c r="L10" s="112">
        <v>1</v>
      </c>
      <c r="M10" s="87">
        <v>46.64</v>
      </c>
      <c r="N10" s="87"/>
      <c r="O10" s="86">
        <v>786167</v>
      </c>
      <c r="P10" s="117">
        <f>Q10/S10*100%</f>
        <v>0.74193548387096775</v>
      </c>
      <c r="Q10" s="113">
        <v>23</v>
      </c>
      <c r="R10" s="113">
        <v>77</v>
      </c>
      <c r="S10" s="113">
        <f>L10*C22</f>
        <v>31</v>
      </c>
      <c r="T10" s="86">
        <f>O10/Q10</f>
        <v>34181.17391304348</v>
      </c>
      <c r="U10" s="86">
        <f>O10/R10</f>
        <v>10209.961038961039</v>
      </c>
      <c r="V10" s="86">
        <f>O10/S10</f>
        <v>25360.225806451614</v>
      </c>
      <c r="W10" s="114">
        <f>IFERROR(O10/(M10*C22),0)</f>
        <v>543.74412106457146</v>
      </c>
    </row>
    <row r="11" spans="2:23">
      <c r="B11" s="84" t="s">
        <v>519</v>
      </c>
      <c r="C11" s="89">
        <f>'2025年12月予約一覧表'!E2</f>
        <v>654</v>
      </c>
      <c r="D11" s="75"/>
      <c r="E11" s="90" t="s">
        <v>239</v>
      </c>
      <c r="F11" s="86">
        <v>107450</v>
      </c>
      <c r="G11" s="87">
        <v>7</v>
      </c>
      <c r="H11" s="88">
        <f t="shared" si="0"/>
        <v>1.4808058891560633E-2</v>
      </c>
      <c r="J11" s="118">
        <v>401</v>
      </c>
      <c r="K11" s="119">
        <f>R11/Q11</f>
        <v>3.925925925925926</v>
      </c>
      <c r="L11" s="120">
        <v>1</v>
      </c>
      <c r="M11" s="121">
        <v>60.22</v>
      </c>
      <c r="N11" s="121"/>
      <c r="O11" s="122">
        <v>971700</v>
      </c>
      <c r="P11" s="115">
        <f>Q11/S11*100%</f>
        <v>0.87096774193548387</v>
      </c>
      <c r="Q11" s="123">
        <v>27</v>
      </c>
      <c r="R11" s="123">
        <v>106</v>
      </c>
      <c r="S11" s="123">
        <f>L11*C22</f>
        <v>31</v>
      </c>
      <c r="T11" s="122">
        <f>O11/Q11</f>
        <v>35988.888888888891</v>
      </c>
      <c r="U11" s="122">
        <f>O11/R11</f>
        <v>9166.9811320754725</v>
      </c>
      <c r="V11" s="122">
        <f>O11/S11</f>
        <v>31345.16129032258</v>
      </c>
      <c r="W11" s="124">
        <f>IFERROR(O11/(M11*C22),0)</f>
        <v>520.51081518303852</v>
      </c>
    </row>
    <row r="12" spans="2:23">
      <c r="B12" s="84" t="s">
        <v>481</v>
      </c>
      <c r="C12" s="89">
        <v>9</v>
      </c>
      <c r="D12" s="75"/>
      <c r="E12" s="84" t="s">
        <v>482</v>
      </c>
      <c r="F12" s="86">
        <v>829000</v>
      </c>
      <c r="G12" s="87">
        <v>11</v>
      </c>
      <c r="H12" s="88">
        <f t="shared" si="0"/>
        <v>0.11424737851190102</v>
      </c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 t="shared" ref="O12" si="1">SUM(O3:O11)</f>
        <v>7256184</v>
      </c>
      <c r="P12" s="129"/>
      <c r="Q12" s="130">
        <f t="shared" ref="Q12:S12" si="2">SUM(Q3:Q11)</f>
        <v>248</v>
      </c>
      <c r="R12" s="130">
        <f t="shared" si="2"/>
        <v>654</v>
      </c>
      <c r="S12" s="130">
        <f t="shared" si="2"/>
        <v>279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279</v>
      </c>
      <c r="D13" s="75"/>
      <c r="E13" s="92" t="s">
        <v>160</v>
      </c>
      <c r="F13" s="93">
        <f>SUM(F5:F12)</f>
        <v>7256184</v>
      </c>
      <c r="G13" s="94">
        <f>SUM(G5:G12)</f>
        <v>84</v>
      </c>
      <c r="H13" s="95">
        <f t="shared" si="0"/>
        <v>1</v>
      </c>
      <c r="P13" s="138"/>
      <c r="Q13" s="139"/>
    </row>
    <row r="14" spans="2:23">
      <c r="B14" s="84" t="s">
        <v>484</v>
      </c>
      <c r="C14" s="89">
        <f>'2025年12月予約一覧表'!D2</f>
        <v>248</v>
      </c>
      <c r="D14" s="75"/>
    </row>
    <row r="15" spans="2:23">
      <c r="B15" s="84" t="s">
        <v>485</v>
      </c>
      <c r="C15" s="89">
        <v>65</v>
      </c>
      <c r="D15" s="75"/>
    </row>
    <row r="16" spans="2:23">
      <c r="B16" s="84" t="s">
        <v>486</v>
      </c>
      <c r="C16" s="89">
        <f>'2025年12月予約一覧表'!H2</f>
        <v>84</v>
      </c>
      <c r="D16" s="75"/>
    </row>
    <row r="17" spans="2:8">
      <c r="B17" s="92" t="s">
        <v>487</v>
      </c>
      <c r="C17" s="97"/>
      <c r="D17" s="75"/>
    </row>
    <row r="18" spans="2:8">
      <c r="B18" s="98" t="s">
        <v>488</v>
      </c>
      <c r="D18" s="75"/>
    </row>
    <row r="19" spans="2:8">
      <c r="B19" s="98" t="s">
        <v>489</v>
      </c>
      <c r="D19" s="75"/>
    </row>
    <row r="20" spans="2:8">
      <c r="B20" s="75"/>
      <c r="D20" s="75"/>
    </row>
    <row r="21" spans="2:8">
      <c r="B21" s="99" t="s">
        <v>490</v>
      </c>
      <c r="C21" s="99"/>
      <c r="D21" s="75"/>
      <c r="E21" s="75"/>
      <c r="F21" s="75"/>
      <c r="G21" s="75"/>
      <c r="H21" s="75"/>
    </row>
    <row r="22" spans="2:8">
      <c r="B22" s="79" t="s">
        <v>491</v>
      </c>
      <c r="C22" s="80">
        <f>DATEDIF(C5,C6,"D")+1</f>
        <v>31</v>
      </c>
      <c r="D22" s="75"/>
      <c r="E22" s="75"/>
      <c r="F22" s="75"/>
      <c r="G22" s="75"/>
      <c r="H22" s="75"/>
    </row>
    <row r="23" spans="2:8">
      <c r="B23" s="84" t="s">
        <v>492</v>
      </c>
      <c r="C23" s="100">
        <f>IFERROR(C14/C13,0)</f>
        <v>0.88888888888888884</v>
      </c>
      <c r="D23" s="75"/>
      <c r="E23" s="75"/>
      <c r="F23" s="75"/>
      <c r="G23" s="75"/>
      <c r="H23" s="75"/>
    </row>
    <row r="24" spans="2:8">
      <c r="B24" s="84" t="s">
        <v>493</v>
      </c>
      <c r="C24" s="91">
        <f>IFERROR(C9/C14,0)</f>
        <v>29258.806451612902</v>
      </c>
      <c r="D24" s="75"/>
      <c r="E24" s="75"/>
      <c r="F24" s="75"/>
      <c r="G24" s="75"/>
      <c r="H24" s="75"/>
    </row>
    <row r="25" spans="2:8">
      <c r="B25" s="84" t="s">
        <v>494</v>
      </c>
      <c r="C25" s="91">
        <f>IFERROR(C9/C11,0)</f>
        <v>11095.08256880734</v>
      </c>
      <c r="D25" s="75"/>
      <c r="E25" s="75"/>
      <c r="F25" s="75"/>
      <c r="G25" s="75"/>
      <c r="H25" s="75"/>
    </row>
    <row r="26" spans="2:8">
      <c r="B26" s="84" t="s">
        <v>495</v>
      </c>
      <c r="C26" s="91">
        <f>IFERROR(C9/C13,0)</f>
        <v>26007.827956989247</v>
      </c>
      <c r="D26" s="75"/>
      <c r="E26" s="75"/>
      <c r="F26" s="75"/>
      <c r="G26" s="75"/>
      <c r="H26" s="75"/>
    </row>
    <row r="27" spans="2:8">
      <c r="B27" s="84" t="s">
        <v>496</v>
      </c>
      <c r="C27" s="91">
        <f>IFERROR(C9/(C7*C22),0)</f>
        <v>657.50126857557086</v>
      </c>
      <c r="D27" s="75"/>
      <c r="E27" s="75"/>
      <c r="F27" s="75"/>
      <c r="G27" s="75"/>
      <c r="H27" s="75"/>
    </row>
    <row r="28" spans="2:8">
      <c r="B28" s="84" t="s">
        <v>497</v>
      </c>
      <c r="C28" s="100">
        <f>IFERROR(C15/C16,0)</f>
        <v>0.77380952380952384</v>
      </c>
      <c r="D28" s="75"/>
      <c r="E28" s="75"/>
      <c r="F28" s="75"/>
      <c r="G28" s="75"/>
      <c r="H28" s="75"/>
    </row>
    <row r="29" spans="2:8">
      <c r="B29" s="92" t="s">
        <v>498</v>
      </c>
      <c r="C29" s="97">
        <f>IFERROR(C17/(C14+C17),0)</f>
        <v>0</v>
      </c>
      <c r="D29" s="75"/>
      <c r="E29" s="75"/>
      <c r="F29" s="75"/>
      <c r="G29" s="75"/>
      <c r="H29" s="75"/>
    </row>
    <row r="30" spans="2:8">
      <c r="B30" s="75"/>
      <c r="D30" s="75"/>
      <c r="E30" s="75"/>
      <c r="F30" s="75"/>
      <c r="G30" s="75"/>
      <c r="H30" s="75"/>
    </row>
  </sheetData>
  <mergeCells count="37"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P3:P5"/>
    <mergeCell ref="B2:H2"/>
    <mergeCell ref="K3:K5"/>
    <mergeCell ref="L3:L5"/>
    <mergeCell ref="M3:M5"/>
    <mergeCell ref="O3:O5"/>
  </mergeCells>
  <phoneticPr fontId="1"/>
  <pageMargins left="0.7" right="0.7" top="0.75" bottom="0.75" header="0.3" footer="0.3"/>
  <pageSetup paperSize="9" scale="4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2644-47B5-0443-8CA2-B5C569E45176}">
  <sheetPr>
    <tabColor theme="5" tint="0.79998168889431442"/>
  </sheetPr>
  <dimension ref="B1:Q345"/>
  <sheetViews>
    <sheetView zoomScale="90" workbookViewId="0">
      <selection activeCell="F3" sqref="F3"/>
    </sheetView>
  </sheetViews>
  <sheetFormatPr baseColWidth="10" defaultColWidth="4.83203125" defaultRowHeight="14"/>
  <cols>
    <col min="1" max="1" width="5.5" style="2" customWidth="1"/>
    <col min="2" max="3" width="14.5" style="2" customWidth="1"/>
    <col min="4" max="4" width="0.1640625" style="2" customWidth="1"/>
    <col min="5" max="6" width="6.1640625" style="2" customWidth="1"/>
    <col min="7" max="7" width="12.6640625" style="2" customWidth="1"/>
    <col min="8" max="8" width="25.33203125" style="2" customWidth="1"/>
    <col min="9" max="9" width="4.5" style="2" customWidth="1"/>
    <col min="10" max="10" width="24.33203125" style="2" customWidth="1"/>
    <col min="11" max="11" width="10" style="2" customWidth="1"/>
    <col min="12" max="13" width="17.1640625" style="57" customWidth="1"/>
    <col min="14" max="14" width="11.33203125" style="57" customWidth="1"/>
    <col min="15" max="15" width="16.5" style="57" customWidth="1"/>
    <col min="16" max="16" width="11.6640625" style="2" customWidth="1"/>
    <col min="17" max="17" width="11" style="2" customWidth="1"/>
    <col min="18" max="21" width="24.33203125" style="2" customWidth="1"/>
    <col min="22" max="16384" width="4.83203125" style="2"/>
  </cols>
  <sheetData>
    <row r="1" spans="2:17" ht="15" thickBot="1"/>
    <row r="2" spans="2:17" ht="18" customHeight="1" thickBot="1">
      <c r="B2" s="159"/>
      <c r="C2" s="160"/>
      <c r="D2" s="160">
        <f>SUM(D4:D67)</f>
        <v>0</v>
      </c>
      <c r="E2" s="160">
        <f>SUM(E4:E76)</f>
        <v>224</v>
      </c>
      <c r="F2" s="160">
        <f>SUM(F4:F76)</f>
        <v>635</v>
      </c>
      <c r="G2" s="160"/>
      <c r="H2" s="160"/>
      <c r="I2" s="160">
        <f>SUM(I4:I76)</f>
        <v>68</v>
      </c>
      <c r="J2" s="160"/>
      <c r="K2" s="160">
        <f t="shared" ref="K2:P2" si="0">SUM(K4:K76)</f>
        <v>187</v>
      </c>
      <c r="L2" s="161">
        <f t="shared" si="0"/>
        <v>6715278</v>
      </c>
      <c r="M2" s="161">
        <f t="shared" si="0"/>
        <v>817226</v>
      </c>
      <c r="N2" s="161">
        <f t="shared" si="0"/>
        <v>29086</v>
      </c>
      <c r="O2" s="161">
        <f t="shared" si="0"/>
        <v>5400321</v>
      </c>
      <c r="P2" s="161">
        <f t="shared" si="0"/>
        <v>3645</v>
      </c>
      <c r="Q2" s="162"/>
    </row>
    <row r="3" spans="2:17" s="1" customFormat="1" ht="46" thickBot="1">
      <c r="B3" s="174" t="s">
        <v>23</v>
      </c>
      <c r="C3" s="175" t="s">
        <v>24</v>
      </c>
      <c r="D3" s="175" t="s">
        <v>25</v>
      </c>
      <c r="E3" s="175" t="s">
        <v>26</v>
      </c>
      <c r="F3" s="175" t="s">
        <v>463</v>
      </c>
      <c r="G3" s="175" t="s">
        <v>27</v>
      </c>
      <c r="H3" s="175" t="s">
        <v>28</v>
      </c>
      <c r="I3" s="175" t="s">
        <v>29</v>
      </c>
      <c r="J3" s="175" t="s">
        <v>30</v>
      </c>
      <c r="K3" s="175" t="s">
        <v>31</v>
      </c>
      <c r="L3" s="176" t="s">
        <v>32</v>
      </c>
      <c r="M3" s="176" t="s">
        <v>33</v>
      </c>
      <c r="N3" s="176" t="s">
        <v>34</v>
      </c>
      <c r="O3" s="176" t="s">
        <v>161</v>
      </c>
      <c r="P3" s="175" t="s">
        <v>162</v>
      </c>
      <c r="Q3" s="177" t="s">
        <v>38</v>
      </c>
    </row>
    <row r="4" spans="2:17" ht="21" customHeight="1">
      <c r="B4" s="170">
        <v>46017</v>
      </c>
      <c r="C4" s="171">
        <v>46023</v>
      </c>
      <c r="E4" s="172">
        <v>6</v>
      </c>
      <c r="F4" s="172">
        <f>E4*K4</f>
        <v>24</v>
      </c>
      <c r="G4" s="172" t="s">
        <v>96</v>
      </c>
      <c r="H4" s="172" t="s">
        <v>71</v>
      </c>
      <c r="I4" s="172">
        <v>1</v>
      </c>
      <c r="J4" s="172" t="s">
        <v>333</v>
      </c>
      <c r="K4" s="172">
        <v>4</v>
      </c>
      <c r="L4" s="173">
        <v>278280</v>
      </c>
      <c r="M4" s="173">
        <v>41742</v>
      </c>
      <c r="N4" s="173">
        <v>0</v>
      </c>
      <c r="O4" s="173">
        <f t="shared" ref="O4:O55" si="1">L4-M4-N4</f>
        <v>236538</v>
      </c>
      <c r="P4" s="172">
        <v>0</v>
      </c>
      <c r="Q4" s="68" t="s">
        <v>46</v>
      </c>
    </row>
    <row r="5" spans="2:17" ht="21" customHeight="1">
      <c r="B5" s="163">
        <v>46020</v>
      </c>
      <c r="C5" s="150">
        <v>46023</v>
      </c>
      <c r="E5" s="149">
        <v>3</v>
      </c>
      <c r="F5" s="149">
        <f>E5*K5</f>
        <v>12</v>
      </c>
      <c r="G5" s="149" t="s">
        <v>96</v>
      </c>
      <c r="H5" s="149" t="s">
        <v>56</v>
      </c>
      <c r="I5" s="149">
        <v>1</v>
      </c>
      <c r="J5" s="149" t="s">
        <v>334</v>
      </c>
      <c r="K5" s="149">
        <v>4</v>
      </c>
      <c r="L5" s="151">
        <v>136000</v>
      </c>
      <c r="M5" s="151">
        <v>21080</v>
      </c>
      <c r="N5" s="151">
        <v>0</v>
      </c>
      <c r="O5" s="151">
        <f t="shared" si="1"/>
        <v>114920</v>
      </c>
      <c r="P5" s="149">
        <v>0</v>
      </c>
      <c r="Q5" s="7" t="s">
        <v>46</v>
      </c>
    </row>
    <row r="6" spans="2:17" ht="21" customHeight="1">
      <c r="B6" s="163">
        <v>46027</v>
      </c>
      <c r="C6" s="150">
        <v>46033</v>
      </c>
      <c r="E6" s="149">
        <v>6</v>
      </c>
      <c r="F6" s="149">
        <f t="shared" ref="F6:F69" si="2">E6*K6</f>
        <v>24</v>
      </c>
      <c r="G6" s="149" t="s">
        <v>96</v>
      </c>
      <c r="H6" s="149" t="s">
        <v>71</v>
      </c>
      <c r="I6" s="149">
        <v>1</v>
      </c>
      <c r="J6" s="149" t="s">
        <v>336</v>
      </c>
      <c r="K6" s="149">
        <v>4</v>
      </c>
      <c r="L6" s="151">
        <v>228160</v>
      </c>
      <c r="M6" s="151">
        <v>35365</v>
      </c>
      <c r="N6" s="151">
        <v>0</v>
      </c>
      <c r="O6" s="151">
        <f t="shared" si="1"/>
        <v>192795</v>
      </c>
      <c r="P6" s="149">
        <v>0</v>
      </c>
      <c r="Q6" s="7" t="s">
        <v>46</v>
      </c>
    </row>
    <row r="7" spans="2:17" ht="21" customHeight="1">
      <c r="B7" s="163">
        <v>46032</v>
      </c>
      <c r="C7" s="150">
        <v>46034</v>
      </c>
      <c r="E7" s="149">
        <v>2</v>
      </c>
      <c r="F7" s="149">
        <f t="shared" si="2"/>
        <v>6</v>
      </c>
      <c r="G7" s="149" t="s">
        <v>96</v>
      </c>
      <c r="H7" s="149" t="s">
        <v>56</v>
      </c>
      <c r="I7" s="149">
        <v>1</v>
      </c>
      <c r="J7" s="149" t="s">
        <v>337</v>
      </c>
      <c r="K7" s="149">
        <v>3</v>
      </c>
      <c r="L7" s="151">
        <v>61000</v>
      </c>
      <c r="M7" s="151">
        <v>9455</v>
      </c>
      <c r="N7" s="151">
        <v>0</v>
      </c>
      <c r="O7" s="151">
        <f t="shared" si="1"/>
        <v>51545</v>
      </c>
      <c r="P7" s="149">
        <v>0</v>
      </c>
      <c r="Q7" s="7" t="s">
        <v>46</v>
      </c>
    </row>
    <row r="8" spans="2:17" ht="21" customHeight="1">
      <c r="B8" s="163">
        <v>46033</v>
      </c>
      <c r="C8" s="150">
        <v>46035</v>
      </c>
      <c r="E8" s="149">
        <v>2</v>
      </c>
      <c r="F8" s="149">
        <f t="shared" si="2"/>
        <v>4</v>
      </c>
      <c r="G8" s="149" t="s">
        <v>96</v>
      </c>
      <c r="H8" s="149" t="s">
        <v>49</v>
      </c>
      <c r="I8" s="149">
        <v>1</v>
      </c>
      <c r="J8" s="149" t="s">
        <v>338</v>
      </c>
      <c r="K8" s="149">
        <v>2</v>
      </c>
      <c r="L8" s="151">
        <v>36580</v>
      </c>
      <c r="M8" s="151">
        <v>5670</v>
      </c>
      <c r="N8" s="151">
        <v>0</v>
      </c>
      <c r="O8" s="151">
        <f t="shared" si="1"/>
        <v>30910</v>
      </c>
      <c r="P8" s="149">
        <v>0</v>
      </c>
      <c r="Q8" s="7" t="s">
        <v>46</v>
      </c>
    </row>
    <row r="9" spans="2:17" ht="21" customHeight="1">
      <c r="B9" s="163">
        <v>46034</v>
      </c>
      <c r="C9" s="150">
        <v>46038</v>
      </c>
      <c r="E9" s="149">
        <v>4</v>
      </c>
      <c r="F9" s="149">
        <f t="shared" si="2"/>
        <v>16</v>
      </c>
      <c r="G9" s="149" t="s">
        <v>96</v>
      </c>
      <c r="H9" s="149" t="s">
        <v>56</v>
      </c>
      <c r="I9" s="149">
        <v>1</v>
      </c>
      <c r="J9" s="149" t="s">
        <v>339</v>
      </c>
      <c r="K9" s="149">
        <v>4</v>
      </c>
      <c r="L9" s="151">
        <v>108500</v>
      </c>
      <c r="M9" s="151">
        <v>16818</v>
      </c>
      <c r="N9" s="151">
        <v>0</v>
      </c>
      <c r="O9" s="151">
        <f t="shared" si="1"/>
        <v>91682</v>
      </c>
      <c r="P9" s="149">
        <v>0</v>
      </c>
      <c r="Q9" s="7" t="s">
        <v>46</v>
      </c>
    </row>
    <row r="10" spans="2:17" ht="21" customHeight="1">
      <c r="B10" s="163">
        <v>46038</v>
      </c>
      <c r="C10" s="150">
        <v>46041</v>
      </c>
      <c r="E10" s="149">
        <v>3</v>
      </c>
      <c r="F10" s="149">
        <f t="shared" si="2"/>
        <v>12</v>
      </c>
      <c r="G10" s="149" t="s">
        <v>96</v>
      </c>
      <c r="H10" s="149" t="s">
        <v>56</v>
      </c>
      <c r="I10" s="149">
        <v>1</v>
      </c>
      <c r="J10" s="149" t="s">
        <v>341</v>
      </c>
      <c r="K10" s="149">
        <v>4</v>
      </c>
      <c r="L10" s="151">
        <v>126000</v>
      </c>
      <c r="M10" s="151">
        <v>19530</v>
      </c>
      <c r="N10" s="151">
        <v>0</v>
      </c>
      <c r="O10" s="151">
        <f t="shared" si="1"/>
        <v>106470</v>
      </c>
      <c r="P10" s="149">
        <v>0</v>
      </c>
      <c r="Q10" s="7" t="s">
        <v>46</v>
      </c>
    </row>
    <row r="11" spans="2:17" ht="21" customHeight="1">
      <c r="B11" s="163">
        <v>46041</v>
      </c>
      <c r="C11" s="150">
        <v>46045</v>
      </c>
      <c r="E11" s="149">
        <v>4</v>
      </c>
      <c r="F11" s="149">
        <f t="shared" si="2"/>
        <v>12</v>
      </c>
      <c r="G11" s="149" t="s">
        <v>96</v>
      </c>
      <c r="H11" s="149" t="s">
        <v>71</v>
      </c>
      <c r="I11" s="149">
        <v>1</v>
      </c>
      <c r="J11" s="149" t="s">
        <v>342</v>
      </c>
      <c r="K11" s="149">
        <v>3</v>
      </c>
      <c r="L11" s="151">
        <v>109820</v>
      </c>
      <c r="M11" s="151">
        <v>17022</v>
      </c>
      <c r="N11" s="151">
        <v>0</v>
      </c>
      <c r="O11" s="151">
        <f t="shared" si="1"/>
        <v>92798</v>
      </c>
      <c r="P11" s="149">
        <v>0</v>
      </c>
      <c r="Q11" s="7" t="s">
        <v>46</v>
      </c>
    </row>
    <row r="12" spans="2:17" ht="21" customHeight="1">
      <c r="B12" s="163">
        <v>46044</v>
      </c>
      <c r="C12" s="150">
        <v>46049</v>
      </c>
      <c r="E12" s="149">
        <v>5</v>
      </c>
      <c r="F12" s="149">
        <f t="shared" si="2"/>
        <v>10</v>
      </c>
      <c r="G12" s="149" t="s">
        <v>96</v>
      </c>
      <c r="H12" s="149" t="s">
        <v>49</v>
      </c>
      <c r="I12" s="149">
        <v>1</v>
      </c>
      <c r="J12" s="149" t="s">
        <v>343</v>
      </c>
      <c r="K12" s="149">
        <v>2</v>
      </c>
      <c r="L12" s="151">
        <v>108860</v>
      </c>
      <c r="M12" s="151">
        <v>16873</v>
      </c>
      <c r="N12" s="151">
        <v>0</v>
      </c>
      <c r="O12" s="151">
        <f t="shared" si="1"/>
        <v>91987</v>
      </c>
      <c r="P12" s="149">
        <v>0</v>
      </c>
      <c r="Q12" s="7" t="s">
        <v>46</v>
      </c>
    </row>
    <row r="13" spans="2:17" ht="21" customHeight="1">
      <c r="B13" s="163">
        <v>46048</v>
      </c>
      <c r="C13" s="150">
        <v>46051</v>
      </c>
      <c r="E13" s="149">
        <v>3</v>
      </c>
      <c r="F13" s="149">
        <f t="shared" si="2"/>
        <v>3</v>
      </c>
      <c r="G13" s="149" t="s">
        <v>96</v>
      </c>
      <c r="H13" s="149" t="s">
        <v>49</v>
      </c>
      <c r="I13" s="149">
        <v>1</v>
      </c>
      <c r="J13" s="149" t="s">
        <v>344</v>
      </c>
      <c r="K13" s="149">
        <v>1</v>
      </c>
      <c r="L13" s="151">
        <v>61600</v>
      </c>
      <c r="M13" s="151">
        <v>9548</v>
      </c>
      <c r="N13" s="151">
        <v>0</v>
      </c>
      <c r="O13" s="151">
        <f t="shared" si="1"/>
        <v>52052</v>
      </c>
      <c r="P13" s="149">
        <v>0</v>
      </c>
      <c r="Q13" s="7" t="s">
        <v>46</v>
      </c>
    </row>
    <row r="14" spans="2:17" ht="21" customHeight="1">
      <c r="B14" s="163">
        <v>46020</v>
      </c>
      <c r="C14" s="150">
        <v>46026</v>
      </c>
      <c r="E14" s="149">
        <v>6</v>
      </c>
      <c r="F14" s="149">
        <f t="shared" si="2"/>
        <v>18</v>
      </c>
      <c r="G14" s="149" t="s">
        <v>42</v>
      </c>
      <c r="H14" s="149" t="s">
        <v>71</v>
      </c>
      <c r="I14" s="149">
        <v>1</v>
      </c>
      <c r="J14" s="149" t="s">
        <v>345</v>
      </c>
      <c r="K14" s="149">
        <v>3</v>
      </c>
      <c r="L14" s="151">
        <v>392640</v>
      </c>
      <c r="M14" s="151">
        <v>47117</v>
      </c>
      <c r="N14" s="151">
        <v>0</v>
      </c>
      <c r="O14" s="151">
        <f t="shared" si="1"/>
        <v>345523</v>
      </c>
      <c r="P14" s="149">
        <v>0</v>
      </c>
      <c r="Q14" s="7" t="s">
        <v>46</v>
      </c>
    </row>
    <row r="15" spans="2:17" ht="21" customHeight="1">
      <c r="B15" s="163">
        <v>46021</v>
      </c>
      <c r="C15" s="150">
        <v>46023</v>
      </c>
      <c r="E15" s="149">
        <v>2</v>
      </c>
      <c r="F15" s="149">
        <f t="shared" si="2"/>
        <v>4</v>
      </c>
      <c r="G15" s="149" t="s">
        <v>42</v>
      </c>
      <c r="H15" s="149" t="s">
        <v>49</v>
      </c>
      <c r="I15" s="149">
        <v>1</v>
      </c>
      <c r="J15" s="149" t="s">
        <v>346</v>
      </c>
      <c r="K15" s="149">
        <v>2</v>
      </c>
      <c r="L15" s="151">
        <v>117200</v>
      </c>
      <c r="M15" s="151">
        <v>14064</v>
      </c>
      <c r="N15" s="151">
        <v>0</v>
      </c>
      <c r="O15" s="151">
        <f t="shared" si="1"/>
        <v>103136</v>
      </c>
      <c r="P15" s="149">
        <v>0</v>
      </c>
      <c r="Q15" s="7" t="s">
        <v>46</v>
      </c>
    </row>
    <row r="16" spans="2:17" ht="21" customHeight="1">
      <c r="B16" s="163">
        <v>46022</v>
      </c>
      <c r="C16" s="150">
        <v>46024</v>
      </c>
      <c r="E16" s="149">
        <v>2</v>
      </c>
      <c r="F16" s="149">
        <f t="shared" si="2"/>
        <v>6</v>
      </c>
      <c r="G16" s="149" t="s">
        <v>42</v>
      </c>
      <c r="H16" s="149" t="s">
        <v>49</v>
      </c>
      <c r="I16" s="149">
        <v>1</v>
      </c>
      <c r="J16" s="149" t="s">
        <v>347</v>
      </c>
      <c r="K16" s="149">
        <v>3</v>
      </c>
      <c r="L16" s="151">
        <v>234400</v>
      </c>
      <c r="M16" s="151">
        <v>28128</v>
      </c>
      <c r="N16" s="151">
        <v>0</v>
      </c>
      <c r="O16" s="151">
        <f t="shared" si="1"/>
        <v>206272</v>
      </c>
      <c r="P16" s="149">
        <v>0</v>
      </c>
      <c r="Q16" s="7" t="s">
        <v>46</v>
      </c>
    </row>
    <row r="17" spans="2:17" ht="21" customHeight="1">
      <c r="B17" s="163">
        <v>46023</v>
      </c>
      <c r="C17" s="150">
        <v>46027</v>
      </c>
      <c r="E17" s="149">
        <v>4</v>
      </c>
      <c r="F17" s="149">
        <f t="shared" si="2"/>
        <v>12</v>
      </c>
      <c r="G17" s="149" t="s">
        <v>42</v>
      </c>
      <c r="H17" s="149" t="s">
        <v>54</v>
      </c>
      <c r="I17" s="149">
        <v>1</v>
      </c>
      <c r="J17" s="149" t="s">
        <v>348</v>
      </c>
      <c r="K17" s="149">
        <v>3</v>
      </c>
      <c r="L17" s="151">
        <v>132867</v>
      </c>
      <c r="M17" s="151">
        <v>15943</v>
      </c>
      <c r="N17" s="151">
        <v>0</v>
      </c>
      <c r="O17" s="151">
        <f t="shared" si="1"/>
        <v>116924</v>
      </c>
      <c r="P17" s="149">
        <v>0</v>
      </c>
      <c r="Q17" s="7" t="s">
        <v>46</v>
      </c>
    </row>
    <row r="18" spans="2:17" ht="21" customHeight="1">
      <c r="B18" s="163">
        <v>46023</v>
      </c>
      <c r="C18" s="150">
        <v>46026</v>
      </c>
      <c r="E18" s="149">
        <v>3</v>
      </c>
      <c r="F18" s="149">
        <f t="shared" si="2"/>
        <v>6</v>
      </c>
      <c r="G18" s="149" t="s">
        <v>42</v>
      </c>
      <c r="H18" s="149" t="s">
        <v>71</v>
      </c>
      <c r="I18" s="149">
        <v>1</v>
      </c>
      <c r="J18" s="149" t="s">
        <v>349</v>
      </c>
      <c r="K18" s="149">
        <v>2</v>
      </c>
      <c r="L18" s="151">
        <v>134880</v>
      </c>
      <c r="M18" s="151">
        <v>16185</v>
      </c>
      <c r="N18" s="151">
        <v>0</v>
      </c>
      <c r="O18" s="151">
        <f t="shared" si="1"/>
        <v>118695</v>
      </c>
      <c r="P18" s="149">
        <v>0</v>
      </c>
      <c r="Q18" s="7" t="s">
        <v>46</v>
      </c>
    </row>
    <row r="19" spans="2:17" ht="21" customHeight="1">
      <c r="B19" s="163">
        <v>46027</v>
      </c>
      <c r="C19" s="150">
        <v>46030</v>
      </c>
      <c r="E19" s="149">
        <v>3</v>
      </c>
      <c r="F19" s="149">
        <f t="shared" si="2"/>
        <v>9</v>
      </c>
      <c r="G19" s="149" t="s">
        <v>42</v>
      </c>
      <c r="H19" s="149" t="s">
        <v>43</v>
      </c>
      <c r="I19" s="149">
        <v>1</v>
      </c>
      <c r="J19" s="149" t="s">
        <v>350</v>
      </c>
      <c r="K19" s="149">
        <v>3</v>
      </c>
      <c r="L19" s="151">
        <v>111915</v>
      </c>
      <c r="M19" s="151">
        <v>13431</v>
      </c>
      <c r="N19" s="151">
        <v>0</v>
      </c>
      <c r="O19" s="151">
        <f t="shared" si="1"/>
        <v>98484</v>
      </c>
      <c r="P19" s="149">
        <v>0</v>
      </c>
      <c r="Q19" s="7" t="s">
        <v>46</v>
      </c>
    </row>
    <row r="20" spans="2:17" ht="21" customHeight="1">
      <c r="B20" s="163">
        <v>46030</v>
      </c>
      <c r="C20" s="150">
        <v>46034</v>
      </c>
      <c r="E20" s="149">
        <v>4</v>
      </c>
      <c r="F20" s="149">
        <f t="shared" si="2"/>
        <v>16</v>
      </c>
      <c r="G20" s="149" t="s">
        <v>42</v>
      </c>
      <c r="H20" s="149" t="s">
        <v>43</v>
      </c>
      <c r="I20" s="149">
        <v>1</v>
      </c>
      <c r="J20" s="149" t="s">
        <v>352</v>
      </c>
      <c r="K20" s="149">
        <v>4</v>
      </c>
      <c r="L20" s="151">
        <v>113088</v>
      </c>
      <c r="M20" s="151">
        <v>13572</v>
      </c>
      <c r="N20" s="151">
        <v>0</v>
      </c>
      <c r="O20" s="151">
        <f t="shared" si="1"/>
        <v>99516</v>
      </c>
      <c r="P20" s="149">
        <v>0</v>
      </c>
      <c r="Q20" s="7" t="s">
        <v>46</v>
      </c>
    </row>
    <row r="21" spans="2:17" ht="21" customHeight="1">
      <c r="B21" s="163">
        <v>46031</v>
      </c>
      <c r="C21" s="150">
        <v>46034</v>
      </c>
      <c r="E21" s="149">
        <v>3</v>
      </c>
      <c r="F21" s="149">
        <f t="shared" si="2"/>
        <v>9</v>
      </c>
      <c r="G21" s="149" t="s">
        <v>42</v>
      </c>
      <c r="H21" s="149" t="s">
        <v>71</v>
      </c>
      <c r="I21" s="149">
        <v>1</v>
      </c>
      <c r="J21" s="149" t="s">
        <v>353</v>
      </c>
      <c r="K21" s="149">
        <v>3</v>
      </c>
      <c r="L21" s="151">
        <v>84762</v>
      </c>
      <c r="M21" s="151">
        <v>10172</v>
      </c>
      <c r="N21" s="151">
        <v>0</v>
      </c>
      <c r="O21" s="151">
        <f t="shared" si="1"/>
        <v>74590</v>
      </c>
      <c r="P21" s="149">
        <v>0</v>
      </c>
      <c r="Q21" s="7" t="s">
        <v>46</v>
      </c>
    </row>
    <row r="22" spans="2:17" ht="21" customHeight="1">
      <c r="B22" s="163">
        <v>46031</v>
      </c>
      <c r="C22" s="150">
        <v>46034</v>
      </c>
      <c r="E22" s="149">
        <v>3</v>
      </c>
      <c r="F22" s="149">
        <f t="shared" si="2"/>
        <v>15</v>
      </c>
      <c r="G22" s="149" t="s">
        <v>42</v>
      </c>
      <c r="H22" s="149" t="s">
        <v>54</v>
      </c>
      <c r="I22" s="149">
        <v>1</v>
      </c>
      <c r="J22" s="149" t="s">
        <v>354</v>
      </c>
      <c r="K22" s="149">
        <v>5</v>
      </c>
      <c r="L22" s="151">
        <v>201396</v>
      </c>
      <c r="M22" s="151">
        <v>24168</v>
      </c>
      <c r="N22" s="151">
        <v>0</v>
      </c>
      <c r="O22" s="151">
        <f t="shared" si="1"/>
        <v>177228</v>
      </c>
      <c r="P22" s="149">
        <v>0</v>
      </c>
      <c r="Q22" s="7" t="s">
        <v>46</v>
      </c>
    </row>
    <row r="23" spans="2:17" ht="21" customHeight="1">
      <c r="B23" s="163">
        <v>46034</v>
      </c>
      <c r="C23" s="150">
        <v>46037</v>
      </c>
      <c r="E23" s="149">
        <v>3</v>
      </c>
      <c r="F23" s="149">
        <f t="shared" si="2"/>
        <v>18</v>
      </c>
      <c r="G23" s="149" t="s">
        <v>42</v>
      </c>
      <c r="H23" s="149" t="s">
        <v>71</v>
      </c>
      <c r="I23" s="149">
        <v>1</v>
      </c>
      <c r="J23" s="149" t="s">
        <v>355</v>
      </c>
      <c r="K23" s="149">
        <v>6</v>
      </c>
      <c r="L23" s="151">
        <v>162354</v>
      </c>
      <c r="M23" s="151">
        <v>19482</v>
      </c>
      <c r="N23" s="151">
        <v>0</v>
      </c>
      <c r="O23" s="151">
        <f t="shared" si="1"/>
        <v>142872</v>
      </c>
      <c r="P23" s="149">
        <v>0</v>
      </c>
      <c r="Q23" s="7" t="s">
        <v>46</v>
      </c>
    </row>
    <row r="24" spans="2:17" ht="21" customHeight="1">
      <c r="B24" s="163">
        <v>46035</v>
      </c>
      <c r="C24" s="150">
        <v>46037</v>
      </c>
      <c r="E24" s="149">
        <v>2</v>
      </c>
      <c r="F24" s="149">
        <f t="shared" si="2"/>
        <v>6</v>
      </c>
      <c r="G24" s="149" t="s">
        <v>42</v>
      </c>
      <c r="H24" s="149" t="s">
        <v>49</v>
      </c>
      <c r="I24" s="149">
        <v>1</v>
      </c>
      <c r="J24" s="149" t="s">
        <v>356</v>
      </c>
      <c r="K24" s="149">
        <v>3</v>
      </c>
      <c r="L24" s="151">
        <v>49320</v>
      </c>
      <c r="M24" s="151">
        <v>5918</v>
      </c>
      <c r="N24" s="151">
        <v>0</v>
      </c>
      <c r="O24" s="151">
        <f t="shared" si="1"/>
        <v>43402</v>
      </c>
      <c r="P24" s="149">
        <v>0</v>
      </c>
      <c r="Q24" s="7" t="s">
        <v>46</v>
      </c>
    </row>
    <row r="25" spans="2:17" ht="21" customHeight="1">
      <c r="B25" s="163">
        <v>46036</v>
      </c>
      <c r="C25" s="150">
        <v>46042</v>
      </c>
      <c r="E25" s="149">
        <v>6</v>
      </c>
      <c r="F25" s="149">
        <f t="shared" si="2"/>
        <v>18</v>
      </c>
      <c r="G25" s="149" t="s">
        <v>42</v>
      </c>
      <c r="H25" s="149" t="s">
        <v>54</v>
      </c>
      <c r="I25" s="149">
        <v>1</v>
      </c>
      <c r="J25" s="149" t="s">
        <v>357</v>
      </c>
      <c r="K25" s="149">
        <v>3</v>
      </c>
      <c r="L25" s="151">
        <v>164586</v>
      </c>
      <c r="M25" s="151">
        <v>19748</v>
      </c>
      <c r="N25" s="151">
        <v>0</v>
      </c>
      <c r="O25" s="151">
        <f t="shared" si="1"/>
        <v>144838</v>
      </c>
      <c r="P25" s="149">
        <v>0</v>
      </c>
      <c r="Q25" s="7" t="s">
        <v>46</v>
      </c>
    </row>
    <row r="26" spans="2:17" ht="21" customHeight="1">
      <c r="B26" s="163">
        <v>46037</v>
      </c>
      <c r="C26" s="150">
        <v>46041</v>
      </c>
      <c r="E26" s="149">
        <v>4</v>
      </c>
      <c r="F26" s="149">
        <f t="shared" si="2"/>
        <v>12</v>
      </c>
      <c r="G26" s="149" t="s">
        <v>42</v>
      </c>
      <c r="H26" s="149" t="s">
        <v>71</v>
      </c>
      <c r="I26" s="149">
        <v>1</v>
      </c>
      <c r="J26" s="149" t="s">
        <v>358</v>
      </c>
      <c r="K26" s="149">
        <v>3</v>
      </c>
      <c r="L26" s="151">
        <v>134886</v>
      </c>
      <c r="M26" s="151">
        <v>16186</v>
      </c>
      <c r="N26" s="151">
        <v>0</v>
      </c>
      <c r="O26" s="151">
        <f t="shared" si="1"/>
        <v>118700</v>
      </c>
      <c r="P26" s="149">
        <v>0</v>
      </c>
      <c r="Q26" s="7" t="s">
        <v>46</v>
      </c>
    </row>
    <row r="27" spans="2:17" ht="21" customHeight="1">
      <c r="B27" s="163">
        <v>46038</v>
      </c>
      <c r="C27" s="150">
        <v>46047</v>
      </c>
      <c r="E27" s="149">
        <v>9</v>
      </c>
      <c r="F27" s="149">
        <f t="shared" si="2"/>
        <v>18</v>
      </c>
      <c r="G27" s="149" t="s">
        <v>42</v>
      </c>
      <c r="H27" s="149" t="s">
        <v>54</v>
      </c>
      <c r="I27" s="149">
        <v>1</v>
      </c>
      <c r="J27" s="149" t="s">
        <v>359</v>
      </c>
      <c r="K27" s="149">
        <v>2</v>
      </c>
      <c r="L27" s="151">
        <v>216452</v>
      </c>
      <c r="M27" s="151">
        <v>25974</v>
      </c>
      <c r="N27" s="151">
        <v>0</v>
      </c>
      <c r="O27" s="151">
        <f t="shared" si="1"/>
        <v>190478</v>
      </c>
      <c r="P27" s="149">
        <v>0</v>
      </c>
      <c r="Q27" s="7" t="s">
        <v>46</v>
      </c>
    </row>
    <row r="28" spans="2:17" ht="21" customHeight="1">
      <c r="B28" s="163">
        <v>46039</v>
      </c>
      <c r="C28" s="150">
        <v>46043</v>
      </c>
      <c r="E28" s="149">
        <v>4</v>
      </c>
      <c r="F28" s="149">
        <f t="shared" si="2"/>
        <v>8</v>
      </c>
      <c r="G28" s="149" t="s">
        <v>42</v>
      </c>
      <c r="H28" s="149" t="s">
        <v>71</v>
      </c>
      <c r="I28" s="149">
        <v>1</v>
      </c>
      <c r="J28" s="149" t="s">
        <v>360</v>
      </c>
      <c r="K28" s="149">
        <v>2</v>
      </c>
      <c r="L28" s="151">
        <v>106240</v>
      </c>
      <c r="M28" s="151">
        <v>12748</v>
      </c>
      <c r="N28" s="151">
        <v>0</v>
      </c>
      <c r="O28" s="151">
        <f t="shared" si="1"/>
        <v>93492</v>
      </c>
      <c r="P28" s="149">
        <v>0</v>
      </c>
      <c r="Q28" s="7" t="s">
        <v>46</v>
      </c>
    </row>
    <row r="29" spans="2:17" ht="21" customHeight="1">
      <c r="B29" s="163">
        <v>46039</v>
      </c>
      <c r="C29" s="150">
        <v>46043</v>
      </c>
      <c r="E29" s="149">
        <v>4</v>
      </c>
      <c r="F29" s="149">
        <f t="shared" si="2"/>
        <v>8</v>
      </c>
      <c r="G29" s="149" t="s">
        <v>42</v>
      </c>
      <c r="H29" s="149" t="s">
        <v>43</v>
      </c>
      <c r="I29" s="149">
        <v>1</v>
      </c>
      <c r="J29" s="149" t="s">
        <v>361</v>
      </c>
      <c r="K29" s="149">
        <v>2</v>
      </c>
      <c r="L29" s="151">
        <v>130928</v>
      </c>
      <c r="M29" s="151">
        <v>15712</v>
      </c>
      <c r="N29" s="151">
        <v>0</v>
      </c>
      <c r="O29" s="151">
        <f t="shared" si="1"/>
        <v>115216</v>
      </c>
      <c r="P29" s="149">
        <v>0</v>
      </c>
      <c r="Q29" s="68" t="s">
        <v>46</v>
      </c>
    </row>
    <row r="30" spans="2:17" ht="21" customHeight="1">
      <c r="B30" s="163">
        <v>46040</v>
      </c>
      <c r="C30" s="150">
        <v>46043</v>
      </c>
      <c r="E30" s="149">
        <v>3</v>
      </c>
      <c r="F30" s="149">
        <f>E30*K30</f>
        <v>6</v>
      </c>
      <c r="G30" s="149" t="s">
        <v>42</v>
      </c>
      <c r="H30" s="149" t="s">
        <v>49</v>
      </c>
      <c r="I30" s="149">
        <v>1</v>
      </c>
      <c r="J30" s="149" t="s">
        <v>362</v>
      </c>
      <c r="K30" s="149">
        <v>2</v>
      </c>
      <c r="L30" s="151">
        <v>47700</v>
      </c>
      <c r="M30" s="151">
        <v>5724</v>
      </c>
      <c r="N30" s="151">
        <v>0</v>
      </c>
      <c r="O30" s="151">
        <f t="shared" si="1"/>
        <v>41976</v>
      </c>
      <c r="P30" s="149">
        <v>0</v>
      </c>
      <c r="Q30" s="7" t="s">
        <v>46</v>
      </c>
    </row>
    <row r="31" spans="2:17" ht="21" customHeight="1">
      <c r="B31" s="163">
        <v>46047</v>
      </c>
      <c r="C31" s="150">
        <v>46051</v>
      </c>
      <c r="E31" s="149">
        <v>4</v>
      </c>
      <c r="F31" s="149">
        <f t="shared" si="2"/>
        <v>4</v>
      </c>
      <c r="G31" s="149" t="s">
        <v>42</v>
      </c>
      <c r="H31" s="149" t="s">
        <v>54</v>
      </c>
      <c r="I31" s="149">
        <v>1</v>
      </c>
      <c r="J31" s="149" t="s">
        <v>363</v>
      </c>
      <c r="K31" s="149">
        <v>1</v>
      </c>
      <c r="L31" s="151">
        <v>79202</v>
      </c>
      <c r="M31" s="151">
        <v>9504</v>
      </c>
      <c r="N31" s="151">
        <v>0</v>
      </c>
      <c r="O31" s="151">
        <f t="shared" si="1"/>
        <v>69698</v>
      </c>
      <c r="P31" s="149">
        <v>0</v>
      </c>
      <c r="Q31" s="7" t="s">
        <v>46</v>
      </c>
    </row>
    <row r="32" spans="2:17" ht="21" customHeight="1">
      <c r="B32" s="163">
        <v>46023</v>
      </c>
      <c r="C32" s="150">
        <v>46026</v>
      </c>
      <c r="E32" s="149">
        <v>3</v>
      </c>
      <c r="F32" s="149">
        <f t="shared" si="2"/>
        <v>6</v>
      </c>
      <c r="G32" s="149" t="s">
        <v>158</v>
      </c>
      <c r="H32" s="149" t="s">
        <v>54</v>
      </c>
      <c r="I32" s="149">
        <v>1</v>
      </c>
      <c r="J32" s="149" t="s">
        <v>364</v>
      </c>
      <c r="K32" s="149">
        <v>2</v>
      </c>
      <c r="L32" s="151">
        <v>100550</v>
      </c>
      <c r="M32" s="151">
        <v>12066</v>
      </c>
      <c r="N32" s="151">
        <v>2313</v>
      </c>
      <c r="O32" s="151">
        <f t="shared" si="1"/>
        <v>86171</v>
      </c>
      <c r="P32" s="149">
        <v>0</v>
      </c>
      <c r="Q32" s="7" t="s">
        <v>46</v>
      </c>
    </row>
    <row r="33" spans="2:17" ht="21" customHeight="1">
      <c r="B33" s="163">
        <v>46023</v>
      </c>
      <c r="C33" s="150">
        <v>46024</v>
      </c>
      <c r="E33" s="149">
        <v>1</v>
      </c>
      <c r="F33" s="149">
        <f t="shared" si="2"/>
        <v>3</v>
      </c>
      <c r="G33" s="149" t="s">
        <v>158</v>
      </c>
      <c r="H33" s="149" t="s">
        <v>43</v>
      </c>
      <c r="I33" s="149">
        <v>1</v>
      </c>
      <c r="J33" s="149" t="s">
        <v>365</v>
      </c>
      <c r="K33" s="149">
        <v>3</v>
      </c>
      <c r="L33" s="151">
        <v>64197</v>
      </c>
      <c r="M33" s="151">
        <v>7704</v>
      </c>
      <c r="N33" s="151">
        <v>1477</v>
      </c>
      <c r="O33" s="151">
        <f t="shared" si="1"/>
        <v>55016</v>
      </c>
      <c r="P33" s="149">
        <v>0</v>
      </c>
      <c r="Q33" s="7" t="s">
        <v>46</v>
      </c>
    </row>
    <row r="34" spans="2:17" ht="21" customHeight="1">
      <c r="B34" s="163">
        <v>46026</v>
      </c>
      <c r="C34" s="150">
        <v>46031</v>
      </c>
      <c r="E34" s="149">
        <v>5</v>
      </c>
      <c r="F34" s="149">
        <f t="shared" si="2"/>
        <v>15</v>
      </c>
      <c r="G34" s="149" t="s">
        <v>158</v>
      </c>
      <c r="H34" s="149" t="s">
        <v>71</v>
      </c>
      <c r="I34" s="149">
        <v>1</v>
      </c>
      <c r="J34" s="149" t="s">
        <v>367</v>
      </c>
      <c r="K34" s="149">
        <v>3</v>
      </c>
      <c r="L34" s="151">
        <v>109821</v>
      </c>
      <c r="M34" s="151">
        <v>13179</v>
      </c>
      <c r="N34" s="151">
        <v>2526</v>
      </c>
      <c r="O34" s="151">
        <f t="shared" si="1"/>
        <v>94116</v>
      </c>
      <c r="P34" s="149">
        <v>0</v>
      </c>
      <c r="Q34" s="7" t="s">
        <v>46</v>
      </c>
    </row>
    <row r="35" spans="2:17" ht="21" customHeight="1">
      <c r="B35" s="163">
        <v>46032</v>
      </c>
      <c r="C35" s="150">
        <v>46034</v>
      </c>
      <c r="E35" s="149">
        <v>2</v>
      </c>
      <c r="F35" s="149">
        <f t="shared" si="2"/>
        <v>4</v>
      </c>
      <c r="G35" s="149" t="s">
        <v>158</v>
      </c>
      <c r="H35" s="149" t="s">
        <v>49</v>
      </c>
      <c r="I35" s="149">
        <v>1</v>
      </c>
      <c r="J35" s="149" t="s">
        <v>368</v>
      </c>
      <c r="K35" s="149">
        <v>2</v>
      </c>
      <c r="L35" s="151">
        <v>41779</v>
      </c>
      <c r="M35" s="151">
        <v>5013</v>
      </c>
      <c r="N35" s="151">
        <v>961</v>
      </c>
      <c r="O35" s="151">
        <f t="shared" si="1"/>
        <v>35805</v>
      </c>
      <c r="P35" s="149">
        <v>0</v>
      </c>
      <c r="Q35" s="7" t="s">
        <v>46</v>
      </c>
    </row>
    <row r="36" spans="2:17" ht="21" customHeight="1">
      <c r="B36" s="163">
        <v>46036</v>
      </c>
      <c r="C36" s="150">
        <v>46040</v>
      </c>
      <c r="E36" s="149">
        <v>4</v>
      </c>
      <c r="F36" s="149">
        <f t="shared" si="2"/>
        <v>8</v>
      </c>
      <c r="G36" s="149" t="s">
        <v>158</v>
      </c>
      <c r="H36" s="149" t="s">
        <v>49</v>
      </c>
      <c r="I36" s="149">
        <v>1</v>
      </c>
      <c r="J36" s="149" t="s">
        <v>369</v>
      </c>
      <c r="K36" s="149">
        <v>2</v>
      </c>
      <c r="L36" s="151">
        <v>68550</v>
      </c>
      <c r="M36" s="151">
        <v>8226</v>
      </c>
      <c r="N36" s="151">
        <v>1577</v>
      </c>
      <c r="O36" s="151">
        <f t="shared" si="1"/>
        <v>58747</v>
      </c>
      <c r="P36" s="149">
        <v>0</v>
      </c>
      <c r="Q36" s="7" t="s">
        <v>46</v>
      </c>
    </row>
    <row r="37" spans="2:17" ht="21" customHeight="1">
      <c r="B37" s="163">
        <v>46043</v>
      </c>
      <c r="C37" s="150">
        <v>46045</v>
      </c>
      <c r="E37" s="149">
        <v>2</v>
      </c>
      <c r="F37" s="149">
        <f t="shared" si="2"/>
        <v>8</v>
      </c>
      <c r="G37" s="149" t="s">
        <v>158</v>
      </c>
      <c r="H37" s="149" t="s">
        <v>43</v>
      </c>
      <c r="I37" s="149">
        <v>1</v>
      </c>
      <c r="J37" s="149" t="s">
        <v>370</v>
      </c>
      <c r="K37" s="149">
        <v>4</v>
      </c>
      <c r="L37" s="151">
        <v>42315</v>
      </c>
      <c r="M37" s="151">
        <v>5078</v>
      </c>
      <c r="N37" s="151">
        <v>973</v>
      </c>
      <c r="O37" s="151">
        <f t="shared" si="1"/>
        <v>36264</v>
      </c>
      <c r="P37" s="149">
        <v>0</v>
      </c>
      <c r="Q37" s="7" t="s">
        <v>46</v>
      </c>
    </row>
    <row r="38" spans="2:17" ht="21" customHeight="1">
      <c r="B38" s="163">
        <v>46045</v>
      </c>
      <c r="C38" s="150">
        <v>46047</v>
      </c>
      <c r="E38" s="149">
        <v>2</v>
      </c>
      <c r="F38" s="149">
        <f t="shared" si="2"/>
        <v>4</v>
      </c>
      <c r="G38" s="149" t="s">
        <v>158</v>
      </c>
      <c r="H38" s="149" t="s">
        <v>56</v>
      </c>
      <c r="I38" s="149">
        <v>1</v>
      </c>
      <c r="J38" s="149" t="s">
        <v>371</v>
      </c>
      <c r="K38" s="149">
        <v>2</v>
      </c>
      <c r="L38" s="151">
        <v>60000</v>
      </c>
      <c r="M38" s="151">
        <v>7200</v>
      </c>
      <c r="N38" s="151">
        <v>1380</v>
      </c>
      <c r="O38" s="151">
        <f t="shared" si="1"/>
        <v>51420</v>
      </c>
      <c r="P38" s="149">
        <v>0</v>
      </c>
      <c r="Q38" s="7" t="s">
        <v>46</v>
      </c>
    </row>
    <row r="39" spans="2:17" ht="21" customHeight="1">
      <c r="B39" s="163">
        <v>46045</v>
      </c>
      <c r="C39" s="150">
        <v>46048</v>
      </c>
      <c r="E39" s="149">
        <v>3</v>
      </c>
      <c r="F39" s="149">
        <f t="shared" si="2"/>
        <v>6</v>
      </c>
      <c r="G39" s="149" t="s">
        <v>158</v>
      </c>
      <c r="H39" s="149" t="s">
        <v>71</v>
      </c>
      <c r="I39" s="149">
        <v>1</v>
      </c>
      <c r="J39" s="149" t="s">
        <v>372</v>
      </c>
      <c r="K39" s="149">
        <v>2</v>
      </c>
      <c r="L39" s="151">
        <v>67217</v>
      </c>
      <c r="M39" s="151">
        <v>8066</v>
      </c>
      <c r="N39" s="151">
        <v>1546</v>
      </c>
      <c r="O39" s="151">
        <f t="shared" si="1"/>
        <v>57605</v>
      </c>
      <c r="P39" s="149">
        <v>0</v>
      </c>
      <c r="Q39" s="7" t="s">
        <v>46</v>
      </c>
    </row>
    <row r="40" spans="2:17" ht="21" customHeight="1">
      <c r="B40" s="163">
        <v>46046</v>
      </c>
      <c r="C40" s="150">
        <v>46050</v>
      </c>
      <c r="E40" s="149">
        <v>4</v>
      </c>
      <c r="F40" s="149">
        <f t="shared" si="2"/>
        <v>12</v>
      </c>
      <c r="G40" s="149" t="s">
        <v>158</v>
      </c>
      <c r="H40" s="149" t="s">
        <v>71</v>
      </c>
      <c r="I40" s="149">
        <v>1</v>
      </c>
      <c r="J40" s="149" t="s">
        <v>373</v>
      </c>
      <c r="K40" s="149">
        <v>3</v>
      </c>
      <c r="L40" s="151">
        <v>96212</v>
      </c>
      <c r="M40" s="151">
        <v>11545</v>
      </c>
      <c r="N40" s="151">
        <v>2213</v>
      </c>
      <c r="O40" s="151">
        <f t="shared" si="1"/>
        <v>82454</v>
      </c>
      <c r="P40" s="149">
        <v>0</v>
      </c>
      <c r="Q40" s="7" t="s">
        <v>46</v>
      </c>
    </row>
    <row r="41" spans="2:17" ht="21" customHeight="1">
      <c r="B41" s="163">
        <v>46050</v>
      </c>
      <c r="C41" s="150">
        <v>46053</v>
      </c>
      <c r="E41" s="149">
        <v>3</v>
      </c>
      <c r="F41" s="149">
        <f t="shared" si="2"/>
        <v>9</v>
      </c>
      <c r="G41" s="149" t="s">
        <v>158</v>
      </c>
      <c r="H41" s="149" t="s">
        <v>49</v>
      </c>
      <c r="I41" s="149">
        <v>1</v>
      </c>
      <c r="J41" s="149" t="s">
        <v>374</v>
      </c>
      <c r="K41" s="149">
        <v>3</v>
      </c>
      <c r="L41" s="151">
        <v>56415</v>
      </c>
      <c r="M41" s="151">
        <v>6770</v>
      </c>
      <c r="N41" s="151">
        <v>1298</v>
      </c>
      <c r="O41" s="151">
        <f t="shared" si="1"/>
        <v>48347</v>
      </c>
      <c r="P41" s="149">
        <v>0</v>
      </c>
      <c r="Q41" s="7" t="s">
        <v>46</v>
      </c>
    </row>
    <row r="42" spans="2:17" ht="21" customHeight="1">
      <c r="B42" s="163">
        <v>46020</v>
      </c>
      <c r="C42" s="150">
        <v>46023</v>
      </c>
      <c r="E42" s="149">
        <v>3</v>
      </c>
      <c r="F42" s="149">
        <f t="shared" si="2"/>
        <v>15</v>
      </c>
      <c r="G42" s="149" t="s">
        <v>132</v>
      </c>
      <c r="H42" s="149" t="s">
        <v>43</v>
      </c>
      <c r="I42" s="149">
        <v>1</v>
      </c>
      <c r="J42" s="149" t="s">
        <v>376</v>
      </c>
      <c r="K42" s="149">
        <v>5</v>
      </c>
      <c r="L42" s="151">
        <v>147328</v>
      </c>
      <c r="M42" s="151">
        <v>25332</v>
      </c>
      <c r="N42" s="151">
        <v>0</v>
      </c>
      <c r="O42" s="151">
        <f t="shared" si="1"/>
        <v>121996</v>
      </c>
      <c r="P42" s="149">
        <v>0</v>
      </c>
      <c r="Q42" s="7" t="s">
        <v>46</v>
      </c>
    </row>
    <row r="43" spans="2:17" ht="21" customHeight="1">
      <c r="B43" s="163">
        <v>46030</v>
      </c>
      <c r="C43" s="150">
        <v>46035</v>
      </c>
      <c r="E43" s="149">
        <v>5</v>
      </c>
      <c r="F43" s="149">
        <f t="shared" si="2"/>
        <v>10</v>
      </c>
      <c r="G43" s="149" t="s">
        <v>132</v>
      </c>
      <c r="H43" s="149" t="s">
        <v>49</v>
      </c>
      <c r="I43" s="149">
        <v>1</v>
      </c>
      <c r="J43" s="149" t="s">
        <v>377</v>
      </c>
      <c r="K43" s="149">
        <v>2</v>
      </c>
      <c r="L43" s="151">
        <v>75404</v>
      </c>
      <c r="M43" s="151">
        <v>12384</v>
      </c>
      <c r="N43" s="151">
        <v>0</v>
      </c>
      <c r="O43" s="151">
        <f t="shared" si="1"/>
        <v>63020</v>
      </c>
      <c r="P43" s="149">
        <v>0</v>
      </c>
      <c r="Q43" s="7" t="s">
        <v>46</v>
      </c>
    </row>
    <row r="44" spans="2:17" ht="21" customHeight="1">
      <c r="B44" s="163">
        <v>46038</v>
      </c>
      <c r="C44" s="150">
        <v>46039</v>
      </c>
      <c r="E44" s="149">
        <v>1</v>
      </c>
      <c r="F44" s="149">
        <f>E44*K44</f>
        <v>2</v>
      </c>
      <c r="G44" s="149" t="s">
        <v>132</v>
      </c>
      <c r="H44" s="149" t="s">
        <v>49</v>
      </c>
      <c r="I44" s="149">
        <v>1</v>
      </c>
      <c r="J44" s="149" t="s">
        <v>378</v>
      </c>
      <c r="K44" s="149">
        <v>2</v>
      </c>
      <c r="L44" s="151">
        <v>19109</v>
      </c>
      <c r="M44" s="151">
        <v>2251</v>
      </c>
      <c r="N44" s="151">
        <v>0</v>
      </c>
      <c r="O44" s="151">
        <f t="shared" si="1"/>
        <v>16858</v>
      </c>
      <c r="P44" s="149">
        <v>0</v>
      </c>
      <c r="Q44" s="7" t="s">
        <v>46</v>
      </c>
    </row>
    <row r="45" spans="2:17" ht="21" customHeight="1">
      <c r="B45" s="163">
        <v>46038</v>
      </c>
      <c r="C45" s="150">
        <v>46041</v>
      </c>
      <c r="E45" s="149">
        <v>3</v>
      </c>
      <c r="F45" s="149">
        <f t="shared" si="2"/>
        <v>9</v>
      </c>
      <c r="G45" s="149" t="s">
        <v>132</v>
      </c>
      <c r="H45" s="149" t="s">
        <v>49</v>
      </c>
      <c r="I45" s="149">
        <v>1</v>
      </c>
      <c r="J45" s="149" t="s">
        <v>379</v>
      </c>
      <c r="K45" s="149">
        <v>3</v>
      </c>
      <c r="L45" s="151">
        <v>69950</v>
      </c>
      <c r="M45" s="151">
        <v>11403</v>
      </c>
      <c r="N45" s="151">
        <v>0</v>
      </c>
      <c r="O45" s="151">
        <f t="shared" si="1"/>
        <v>58547</v>
      </c>
      <c r="P45" s="149">
        <v>0</v>
      </c>
      <c r="Q45" s="7" t="s">
        <v>46</v>
      </c>
    </row>
    <row r="46" spans="2:17" ht="21" customHeight="1">
      <c r="B46" s="163">
        <v>46039</v>
      </c>
      <c r="C46" s="150">
        <v>46042</v>
      </c>
      <c r="E46" s="149">
        <v>3</v>
      </c>
      <c r="F46" s="149">
        <f t="shared" si="2"/>
        <v>6</v>
      </c>
      <c r="G46" s="149" t="s">
        <v>132</v>
      </c>
      <c r="H46" s="149" t="s">
        <v>49</v>
      </c>
      <c r="I46" s="149">
        <v>1</v>
      </c>
      <c r="J46" s="149" t="s">
        <v>380</v>
      </c>
      <c r="K46" s="149">
        <v>2</v>
      </c>
      <c r="L46" s="151">
        <v>56641</v>
      </c>
      <c r="M46" s="151">
        <v>9008</v>
      </c>
      <c r="N46" s="151">
        <v>0</v>
      </c>
      <c r="O46" s="151">
        <f t="shared" si="1"/>
        <v>47633</v>
      </c>
      <c r="P46" s="149">
        <v>0</v>
      </c>
      <c r="Q46" s="7" t="s">
        <v>46</v>
      </c>
    </row>
    <row r="47" spans="2:17" ht="21" customHeight="1">
      <c r="B47" s="163">
        <v>46042</v>
      </c>
      <c r="C47" s="150">
        <v>46045</v>
      </c>
      <c r="E47" s="149">
        <v>3</v>
      </c>
      <c r="F47" s="149">
        <f t="shared" si="2"/>
        <v>6</v>
      </c>
      <c r="G47" s="149" t="s">
        <v>132</v>
      </c>
      <c r="H47" s="149" t="s">
        <v>49</v>
      </c>
      <c r="I47" s="149">
        <v>1</v>
      </c>
      <c r="J47" s="149" t="s">
        <v>381</v>
      </c>
      <c r="K47" s="149">
        <v>2</v>
      </c>
      <c r="L47" s="151">
        <v>66648</v>
      </c>
      <c r="M47" s="151">
        <v>10809</v>
      </c>
      <c r="N47" s="151">
        <v>0</v>
      </c>
      <c r="O47" s="151">
        <f t="shared" si="1"/>
        <v>55839</v>
      </c>
      <c r="P47" s="149">
        <v>0</v>
      </c>
      <c r="Q47" s="7" t="s">
        <v>46</v>
      </c>
    </row>
    <row r="48" spans="2:17" ht="21" customHeight="1">
      <c r="B48" s="163">
        <v>46043</v>
      </c>
      <c r="C48" s="150">
        <v>46046</v>
      </c>
      <c r="E48" s="149">
        <v>3</v>
      </c>
      <c r="F48" s="149">
        <f t="shared" si="2"/>
        <v>6</v>
      </c>
      <c r="G48" s="149" t="s">
        <v>132</v>
      </c>
      <c r="H48" s="149" t="s">
        <v>71</v>
      </c>
      <c r="I48" s="149">
        <v>1</v>
      </c>
      <c r="J48" s="149" t="s">
        <v>382</v>
      </c>
      <c r="K48" s="149">
        <v>2</v>
      </c>
      <c r="L48" s="151">
        <v>51709</v>
      </c>
      <c r="M48" s="151">
        <v>8118</v>
      </c>
      <c r="N48" s="151">
        <v>0</v>
      </c>
      <c r="O48" s="151">
        <f t="shared" si="1"/>
        <v>43591</v>
      </c>
      <c r="P48" s="149">
        <v>0</v>
      </c>
      <c r="Q48" s="7" t="s">
        <v>46</v>
      </c>
    </row>
    <row r="49" spans="2:17" ht="21" customHeight="1">
      <c r="B49" s="163">
        <v>46045</v>
      </c>
      <c r="C49" s="150">
        <v>46048</v>
      </c>
      <c r="E49" s="149">
        <v>3</v>
      </c>
      <c r="F49" s="149">
        <f t="shared" si="2"/>
        <v>9</v>
      </c>
      <c r="G49" s="149" t="s">
        <v>132</v>
      </c>
      <c r="H49" s="149" t="s">
        <v>43</v>
      </c>
      <c r="I49" s="149">
        <v>1</v>
      </c>
      <c r="J49" s="149" t="s">
        <v>383</v>
      </c>
      <c r="K49" s="149">
        <v>3</v>
      </c>
      <c r="L49" s="151">
        <v>79929</v>
      </c>
      <c r="M49" s="151">
        <v>13200</v>
      </c>
      <c r="N49" s="151">
        <v>0</v>
      </c>
      <c r="O49" s="151">
        <f t="shared" si="1"/>
        <v>66729</v>
      </c>
      <c r="P49" s="149">
        <v>0</v>
      </c>
      <c r="Q49" s="7" t="s">
        <v>46</v>
      </c>
    </row>
    <row r="50" spans="2:17" ht="21" customHeight="1">
      <c r="B50" s="163">
        <v>46046</v>
      </c>
      <c r="C50" s="150">
        <v>46049</v>
      </c>
      <c r="E50" s="149">
        <v>3</v>
      </c>
      <c r="F50" s="149">
        <f t="shared" si="2"/>
        <v>9</v>
      </c>
      <c r="G50" s="149" t="s">
        <v>132</v>
      </c>
      <c r="H50" s="149" t="s">
        <v>54</v>
      </c>
      <c r="I50" s="149">
        <v>1</v>
      </c>
      <c r="J50" s="149" t="s">
        <v>384</v>
      </c>
      <c r="K50" s="149">
        <v>3</v>
      </c>
      <c r="L50" s="151">
        <v>63692</v>
      </c>
      <c r="M50" s="151">
        <v>10277</v>
      </c>
      <c r="N50" s="151">
        <v>0</v>
      </c>
      <c r="O50" s="151">
        <f t="shared" si="1"/>
        <v>53415</v>
      </c>
      <c r="P50" s="149">
        <v>0</v>
      </c>
      <c r="Q50" s="7" t="s">
        <v>46</v>
      </c>
    </row>
    <row r="51" spans="2:17" ht="21" customHeight="1">
      <c r="B51" s="163">
        <v>46049</v>
      </c>
      <c r="C51" s="150">
        <v>46051</v>
      </c>
      <c r="E51" s="149">
        <v>2</v>
      </c>
      <c r="F51" s="149">
        <f t="shared" si="2"/>
        <v>4</v>
      </c>
      <c r="G51" s="149" t="s">
        <v>132</v>
      </c>
      <c r="H51" s="149" t="s">
        <v>54</v>
      </c>
      <c r="I51" s="149">
        <v>1</v>
      </c>
      <c r="J51" s="149" t="s">
        <v>385</v>
      </c>
      <c r="K51" s="149">
        <v>2</v>
      </c>
      <c r="L51" s="151">
        <v>45032</v>
      </c>
      <c r="M51" s="151">
        <v>6919</v>
      </c>
      <c r="N51" s="151">
        <v>0</v>
      </c>
      <c r="O51" s="151">
        <f t="shared" si="1"/>
        <v>38113</v>
      </c>
      <c r="P51" s="149">
        <v>0</v>
      </c>
      <c r="Q51" s="7" t="s">
        <v>46</v>
      </c>
    </row>
    <row r="52" spans="2:17" ht="21" customHeight="1">
      <c r="B52" s="163">
        <v>46049</v>
      </c>
      <c r="C52" s="150">
        <v>46052</v>
      </c>
      <c r="E52" s="149">
        <v>3</v>
      </c>
      <c r="F52" s="149">
        <f t="shared" si="2"/>
        <v>9</v>
      </c>
      <c r="G52" s="149" t="s">
        <v>132</v>
      </c>
      <c r="H52" s="149" t="s">
        <v>71</v>
      </c>
      <c r="I52" s="149">
        <v>1</v>
      </c>
      <c r="J52" s="149" t="s">
        <v>386</v>
      </c>
      <c r="K52" s="149">
        <v>3</v>
      </c>
      <c r="L52" s="151">
        <v>83931</v>
      </c>
      <c r="M52" s="151">
        <v>13920</v>
      </c>
      <c r="N52" s="151">
        <v>0</v>
      </c>
      <c r="O52" s="151">
        <f t="shared" si="1"/>
        <v>70011</v>
      </c>
      <c r="P52" s="149">
        <v>0</v>
      </c>
      <c r="Q52" s="7" t="s">
        <v>46</v>
      </c>
    </row>
    <row r="53" spans="2:17" ht="21" customHeight="1">
      <c r="B53" s="163">
        <v>46023</v>
      </c>
      <c r="C53" s="150">
        <v>46032</v>
      </c>
      <c r="E53" s="149">
        <v>9</v>
      </c>
      <c r="F53" s="149">
        <f t="shared" si="2"/>
        <v>36</v>
      </c>
      <c r="G53" s="149" t="s">
        <v>159</v>
      </c>
      <c r="H53" s="149" t="s">
        <v>56</v>
      </c>
      <c r="I53" s="149">
        <v>1</v>
      </c>
      <c r="J53" s="149" t="s">
        <v>387</v>
      </c>
      <c r="K53" s="149">
        <v>4</v>
      </c>
      <c r="L53" s="151">
        <v>326000</v>
      </c>
      <c r="M53" s="151">
        <v>38400</v>
      </c>
      <c r="N53" s="151">
        <v>0</v>
      </c>
      <c r="O53" s="151">
        <f t="shared" si="1"/>
        <v>287600</v>
      </c>
      <c r="P53" s="149">
        <v>0</v>
      </c>
      <c r="Q53" s="7" t="s">
        <v>46</v>
      </c>
    </row>
    <row r="54" spans="2:17" ht="21" customHeight="1">
      <c r="B54" s="163">
        <v>46029</v>
      </c>
      <c r="C54" s="150">
        <v>46033</v>
      </c>
      <c r="E54" s="149">
        <v>4</v>
      </c>
      <c r="F54" s="149">
        <f t="shared" si="2"/>
        <v>8</v>
      </c>
      <c r="G54" s="149" t="s">
        <v>159</v>
      </c>
      <c r="H54" s="149" t="s">
        <v>49</v>
      </c>
      <c r="I54" s="149">
        <v>1</v>
      </c>
      <c r="J54" s="149" t="s">
        <v>388</v>
      </c>
      <c r="K54" s="149">
        <v>2</v>
      </c>
      <c r="L54" s="151">
        <v>108860</v>
      </c>
      <c r="M54" s="151">
        <v>12343</v>
      </c>
      <c r="N54" s="151">
        <v>0</v>
      </c>
      <c r="O54" s="151">
        <f t="shared" si="1"/>
        <v>96517</v>
      </c>
      <c r="P54" s="149">
        <v>0</v>
      </c>
      <c r="Q54" s="7" t="s">
        <v>46</v>
      </c>
    </row>
    <row r="55" spans="2:17" ht="21" customHeight="1">
      <c r="B55" s="163">
        <v>46042</v>
      </c>
      <c r="C55" s="150">
        <v>46046</v>
      </c>
      <c r="E55" s="149">
        <v>4</v>
      </c>
      <c r="F55" s="149">
        <f t="shared" si="2"/>
        <v>8</v>
      </c>
      <c r="G55" s="149" t="s">
        <v>159</v>
      </c>
      <c r="H55" s="149" t="s">
        <v>54</v>
      </c>
      <c r="I55" s="149">
        <v>1</v>
      </c>
      <c r="J55" s="149" t="s">
        <v>389</v>
      </c>
      <c r="K55" s="149">
        <v>2</v>
      </c>
      <c r="L55" s="151">
        <v>67000</v>
      </c>
      <c r="M55" s="151">
        <v>7320</v>
      </c>
      <c r="N55" s="151">
        <v>0</v>
      </c>
      <c r="O55" s="151">
        <f t="shared" si="1"/>
        <v>59680</v>
      </c>
      <c r="P55" s="149">
        <v>0</v>
      </c>
      <c r="Q55" s="7" t="s">
        <v>46</v>
      </c>
    </row>
    <row r="56" spans="2:17" ht="21" customHeight="1">
      <c r="B56" s="163">
        <v>46022</v>
      </c>
      <c r="C56" s="150">
        <v>46023</v>
      </c>
      <c r="E56" s="149">
        <v>1</v>
      </c>
      <c r="F56" s="149">
        <f t="shared" si="2"/>
        <v>3</v>
      </c>
      <c r="G56" s="149" t="s">
        <v>390</v>
      </c>
      <c r="H56" s="149" t="s">
        <v>54</v>
      </c>
      <c r="I56" s="149">
        <v>1</v>
      </c>
      <c r="J56" s="149" t="s">
        <v>391</v>
      </c>
      <c r="K56" s="149">
        <v>3</v>
      </c>
      <c r="L56" s="151">
        <v>39648</v>
      </c>
      <c r="M56" s="152">
        <v>36637</v>
      </c>
      <c r="N56" s="152">
        <v>12822</v>
      </c>
      <c r="O56" s="152">
        <f>(SUM(L56:L64))-M56-N56-'[2]8-12月明細'!U55</f>
        <v>279969</v>
      </c>
      <c r="P56" s="153">
        <v>3645</v>
      </c>
      <c r="Q56" s="7" t="s">
        <v>46</v>
      </c>
    </row>
    <row r="57" spans="2:17" ht="21" customHeight="1">
      <c r="B57" s="163">
        <v>46029</v>
      </c>
      <c r="C57" s="150">
        <v>46030</v>
      </c>
      <c r="E57" s="149">
        <v>1</v>
      </c>
      <c r="F57" s="149">
        <f t="shared" si="2"/>
        <v>2</v>
      </c>
      <c r="G57" s="149" t="s">
        <v>390</v>
      </c>
      <c r="H57" s="149" t="s">
        <v>49</v>
      </c>
      <c r="I57" s="149">
        <v>1</v>
      </c>
      <c r="J57" s="149" t="s">
        <v>392</v>
      </c>
      <c r="K57" s="149">
        <v>2</v>
      </c>
      <c r="L57" s="151">
        <v>16680</v>
      </c>
      <c r="M57" s="154"/>
      <c r="N57" s="154"/>
      <c r="O57" s="154"/>
      <c r="P57" s="155"/>
      <c r="Q57" s="7" t="s">
        <v>46</v>
      </c>
    </row>
    <row r="58" spans="2:17" ht="21" customHeight="1">
      <c r="B58" s="163">
        <v>46034</v>
      </c>
      <c r="C58" s="150">
        <v>46038</v>
      </c>
      <c r="E58" s="149">
        <v>4</v>
      </c>
      <c r="F58" s="149">
        <f t="shared" si="2"/>
        <v>12</v>
      </c>
      <c r="G58" s="149" t="s">
        <v>390</v>
      </c>
      <c r="H58" s="149" t="s">
        <v>43</v>
      </c>
      <c r="I58" s="149">
        <v>1</v>
      </c>
      <c r="J58" s="149" t="s">
        <v>393</v>
      </c>
      <c r="K58" s="149">
        <v>3</v>
      </c>
      <c r="L58" s="151">
        <v>111012</v>
      </c>
      <c r="M58" s="154"/>
      <c r="N58" s="154"/>
      <c r="O58" s="154"/>
      <c r="P58" s="155"/>
      <c r="Q58" s="7" t="s">
        <v>46</v>
      </c>
    </row>
    <row r="59" spans="2:17" ht="21" customHeight="1">
      <c r="B59" s="163">
        <v>46036</v>
      </c>
      <c r="C59" s="150">
        <v>46038</v>
      </c>
      <c r="E59" s="149">
        <v>2</v>
      </c>
      <c r="F59" s="149">
        <f t="shared" si="2"/>
        <v>4</v>
      </c>
      <c r="G59" s="149" t="s">
        <v>390</v>
      </c>
      <c r="H59" s="149" t="s">
        <v>49</v>
      </c>
      <c r="I59" s="149">
        <v>1</v>
      </c>
      <c r="J59" s="149" t="s">
        <v>394</v>
      </c>
      <c r="K59" s="149">
        <v>2</v>
      </c>
      <c r="L59" s="151">
        <v>31970</v>
      </c>
      <c r="M59" s="154"/>
      <c r="N59" s="154"/>
      <c r="O59" s="154"/>
      <c r="P59" s="155"/>
      <c r="Q59" s="7" t="s">
        <v>46</v>
      </c>
    </row>
    <row r="60" spans="2:17" ht="21" customHeight="1">
      <c r="B60" s="163">
        <v>46042</v>
      </c>
      <c r="C60" s="150">
        <v>46043</v>
      </c>
      <c r="E60" s="149">
        <v>1</v>
      </c>
      <c r="F60" s="149">
        <f t="shared" si="2"/>
        <v>2</v>
      </c>
      <c r="G60" s="149" t="s">
        <v>390</v>
      </c>
      <c r="H60" s="149" t="s">
        <v>49</v>
      </c>
      <c r="I60" s="149">
        <v>1</v>
      </c>
      <c r="J60" s="149" t="s">
        <v>395</v>
      </c>
      <c r="K60" s="149">
        <v>2</v>
      </c>
      <c r="L60" s="151">
        <v>11120</v>
      </c>
      <c r="M60" s="154"/>
      <c r="N60" s="154"/>
      <c r="O60" s="154"/>
      <c r="P60" s="155"/>
      <c r="Q60" s="7" t="s">
        <v>46</v>
      </c>
    </row>
    <row r="61" spans="2:17" ht="21" customHeight="1">
      <c r="B61" s="163">
        <v>46043</v>
      </c>
      <c r="C61" s="150">
        <v>46044</v>
      </c>
      <c r="E61" s="149">
        <v>1</v>
      </c>
      <c r="F61" s="149">
        <f>E61*K61</f>
        <v>1</v>
      </c>
      <c r="G61" s="149" t="s">
        <v>390</v>
      </c>
      <c r="H61" s="149" t="s">
        <v>49</v>
      </c>
      <c r="I61" s="149">
        <v>1</v>
      </c>
      <c r="J61" s="149" t="s">
        <v>396</v>
      </c>
      <c r="K61" s="149">
        <v>1</v>
      </c>
      <c r="L61" s="151">
        <v>11120</v>
      </c>
      <c r="M61" s="154"/>
      <c r="N61" s="154"/>
      <c r="O61" s="154"/>
      <c r="P61" s="155"/>
      <c r="Q61" s="7" t="s">
        <v>46</v>
      </c>
    </row>
    <row r="62" spans="2:17" ht="21" customHeight="1">
      <c r="B62" s="163">
        <v>46043</v>
      </c>
      <c r="C62" s="150">
        <v>46044</v>
      </c>
      <c r="E62" s="149">
        <v>1</v>
      </c>
      <c r="F62" s="149">
        <f t="shared" si="2"/>
        <v>2</v>
      </c>
      <c r="G62" s="149" t="s">
        <v>390</v>
      </c>
      <c r="H62" s="149" t="s">
        <v>49</v>
      </c>
      <c r="I62" s="149">
        <v>1</v>
      </c>
      <c r="J62" s="149" t="s">
        <v>397</v>
      </c>
      <c r="K62" s="149">
        <v>2</v>
      </c>
      <c r="L62" s="151">
        <v>11120</v>
      </c>
      <c r="M62" s="154"/>
      <c r="N62" s="154"/>
      <c r="O62" s="154"/>
      <c r="P62" s="155"/>
      <c r="Q62" s="7" t="s">
        <v>46</v>
      </c>
    </row>
    <row r="63" spans="2:17" ht="21" customHeight="1">
      <c r="B63" s="163">
        <v>46044</v>
      </c>
      <c r="C63" s="150">
        <v>46047</v>
      </c>
      <c r="E63" s="149">
        <v>3</v>
      </c>
      <c r="F63" s="149">
        <f t="shared" si="2"/>
        <v>6</v>
      </c>
      <c r="G63" s="149" t="s">
        <v>390</v>
      </c>
      <c r="H63" s="149" t="s">
        <v>49</v>
      </c>
      <c r="I63" s="149">
        <v>1</v>
      </c>
      <c r="J63" s="149" t="s">
        <v>398</v>
      </c>
      <c r="K63" s="149">
        <v>2</v>
      </c>
      <c r="L63" s="151">
        <v>77840</v>
      </c>
      <c r="M63" s="154"/>
      <c r="N63" s="154"/>
      <c r="O63" s="154"/>
      <c r="P63" s="155"/>
      <c r="Q63" s="7" t="s">
        <v>46</v>
      </c>
    </row>
    <row r="64" spans="2:17" ht="21" customHeight="1">
      <c r="B64" s="163">
        <v>46047</v>
      </c>
      <c r="C64" s="150">
        <v>46048</v>
      </c>
      <c r="E64" s="149">
        <v>1</v>
      </c>
      <c r="F64" s="149">
        <f t="shared" si="2"/>
        <v>3</v>
      </c>
      <c r="G64" s="149" t="s">
        <v>390</v>
      </c>
      <c r="H64" s="149" t="s">
        <v>49</v>
      </c>
      <c r="I64" s="149">
        <v>1</v>
      </c>
      <c r="J64" s="149" t="s">
        <v>399</v>
      </c>
      <c r="K64" s="149">
        <v>3</v>
      </c>
      <c r="L64" s="151">
        <v>22563</v>
      </c>
      <c r="M64" s="156"/>
      <c r="N64" s="156"/>
      <c r="O64" s="156"/>
      <c r="P64" s="157"/>
      <c r="Q64" s="7" t="s">
        <v>46</v>
      </c>
    </row>
    <row r="65" spans="2:17" ht="21" customHeight="1">
      <c r="B65" s="163">
        <v>46022</v>
      </c>
      <c r="C65" s="150">
        <v>46023</v>
      </c>
      <c r="E65" s="149">
        <v>1</v>
      </c>
      <c r="F65" s="149">
        <f t="shared" si="2"/>
        <v>4</v>
      </c>
      <c r="G65" s="149" t="s">
        <v>315</v>
      </c>
      <c r="H65" s="149" t="s">
        <v>54</v>
      </c>
      <c r="I65" s="149">
        <v>1</v>
      </c>
      <c r="J65" s="149" t="s">
        <v>400</v>
      </c>
      <c r="K65" s="149">
        <v>4</v>
      </c>
      <c r="L65" s="151">
        <v>48800</v>
      </c>
      <c r="M65" s="152">
        <v>7179</v>
      </c>
      <c r="N65" s="152">
        <v>0</v>
      </c>
      <c r="O65" s="152">
        <f>(SUM(L65:L66))-M65-N65</f>
        <v>72121</v>
      </c>
      <c r="P65" s="149"/>
      <c r="Q65" s="7" t="s">
        <v>46</v>
      </c>
    </row>
    <row r="66" spans="2:17" ht="21" customHeight="1">
      <c r="B66" s="163">
        <v>46043</v>
      </c>
      <c r="C66" s="150">
        <v>46045</v>
      </c>
      <c r="E66" s="149">
        <v>2</v>
      </c>
      <c r="F66" s="149">
        <f t="shared" si="2"/>
        <v>2</v>
      </c>
      <c r="G66" s="149" t="s">
        <v>315</v>
      </c>
      <c r="H66" s="149" t="s">
        <v>56</v>
      </c>
      <c r="I66" s="149">
        <v>1</v>
      </c>
      <c r="J66" s="149" t="s">
        <v>401</v>
      </c>
      <c r="K66" s="149">
        <v>1</v>
      </c>
      <c r="L66" s="151">
        <v>30500</v>
      </c>
      <c r="M66" s="156"/>
      <c r="N66" s="156"/>
      <c r="O66" s="156"/>
      <c r="P66" s="149"/>
      <c r="Q66" s="7" t="s">
        <v>46</v>
      </c>
    </row>
    <row r="67" spans="2:17" s="158" customFormat="1" ht="21" customHeight="1">
      <c r="B67" s="164"/>
      <c r="E67" s="158">
        <v>5</v>
      </c>
      <c r="F67" s="149">
        <f t="shared" si="2"/>
        <v>15</v>
      </c>
      <c r="G67" s="158" t="s">
        <v>518</v>
      </c>
      <c r="H67" s="149" t="s">
        <v>49</v>
      </c>
      <c r="I67" s="158">
        <v>1</v>
      </c>
      <c r="K67" s="158">
        <v>3</v>
      </c>
      <c r="L67" s="165">
        <v>75000</v>
      </c>
      <c r="M67" s="165"/>
      <c r="N67" s="165"/>
      <c r="O67" s="165"/>
      <c r="Q67" s="7" t="s">
        <v>46</v>
      </c>
    </row>
    <row r="68" spans="2:17" s="158" customFormat="1" ht="21" customHeight="1">
      <c r="B68" s="164"/>
      <c r="E68" s="158">
        <v>4</v>
      </c>
      <c r="F68" s="149">
        <f t="shared" si="2"/>
        <v>12</v>
      </c>
      <c r="G68" s="158" t="s">
        <v>518</v>
      </c>
      <c r="H68" s="149" t="s">
        <v>49</v>
      </c>
      <c r="I68" s="158">
        <v>1</v>
      </c>
      <c r="K68" s="158">
        <v>3</v>
      </c>
      <c r="L68" s="165">
        <v>85000</v>
      </c>
      <c r="M68" s="165"/>
      <c r="N68" s="165"/>
      <c r="O68" s="165"/>
      <c r="Q68" s="7" t="s">
        <v>46</v>
      </c>
    </row>
    <row r="69" spans="2:17" s="158" customFormat="1" ht="21" customHeight="1">
      <c r="B69" s="164"/>
      <c r="E69" s="158">
        <v>3</v>
      </c>
      <c r="F69" s="149">
        <f t="shared" si="2"/>
        <v>12</v>
      </c>
      <c r="G69" s="158" t="s">
        <v>518</v>
      </c>
      <c r="H69" s="149" t="s">
        <v>54</v>
      </c>
      <c r="I69" s="158">
        <v>1</v>
      </c>
      <c r="K69" s="158">
        <v>4</v>
      </c>
      <c r="L69" s="165">
        <v>65000</v>
      </c>
      <c r="M69" s="165"/>
      <c r="N69" s="165"/>
      <c r="O69" s="165"/>
      <c r="Q69" s="7" t="s">
        <v>46</v>
      </c>
    </row>
    <row r="70" spans="2:17" s="158" customFormat="1" ht="21" customHeight="1">
      <c r="B70" s="164"/>
      <c r="E70" s="158">
        <v>3</v>
      </c>
      <c r="F70" s="149">
        <f t="shared" ref="F70:F71" si="3">E70*K70</f>
        <v>9</v>
      </c>
      <c r="G70" s="158" t="s">
        <v>518</v>
      </c>
      <c r="H70" s="149" t="s">
        <v>54</v>
      </c>
      <c r="I70" s="158">
        <v>1</v>
      </c>
      <c r="K70" s="158">
        <v>3</v>
      </c>
      <c r="L70" s="165">
        <v>90000</v>
      </c>
      <c r="M70" s="165"/>
      <c r="N70" s="165"/>
      <c r="O70" s="165"/>
      <c r="Q70" s="7" t="s">
        <v>46</v>
      </c>
    </row>
    <row r="71" spans="2:17" s="158" customFormat="1" ht="21" customHeight="1" thickBot="1">
      <c r="B71" s="166"/>
      <c r="C71" s="167"/>
      <c r="D71" s="167"/>
      <c r="E71" s="167">
        <v>6</v>
      </c>
      <c r="F71" s="168">
        <f t="shared" si="3"/>
        <v>18</v>
      </c>
      <c r="G71" s="167" t="s">
        <v>518</v>
      </c>
      <c r="H71" s="168" t="s">
        <v>43</v>
      </c>
      <c r="I71" s="167">
        <v>1</v>
      </c>
      <c r="J71" s="167"/>
      <c r="K71" s="167">
        <v>3</v>
      </c>
      <c r="L71" s="169">
        <v>150000</v>
      </c>
      <c r="M71" s="169"/>
      <c r="N71" s="169"/>
      <c r="O71" s="169"/>
      <c r="P71" s="167"/>
      <c r="Q71" s="12" t="s">
        <v>46</v>
      </c>
    </row>
    <row r="72" spans="2:17" ht="21" customHeight="1"/>
    <row r="73" spans="2:17" ht="21" customHeight="1"/>
    <row r="74" spans="2:17" ht="21" customHeight="1"/>
    <row r="75" spans="2:17" ht="21" customHeight="1"/>
    <row r="76" spans="2:17" ht="21" customHeight="1"/>
    <row r="77" spans="2:17" ht="21" customHeight="1"/>
    <row r="78" spans="2:17" ht="21" customHeight="1"/>
    <row r="79" spans="2:17" ht="21" customHeight="1"/>
    <row r="80" spans="2:17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</sheetData>
  <phoneticPr fontId="1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B3D0-9277-9749-A14C-A886A3E40D67}">
  <sheetPr>
    <tabColor theme="5" tint="0.79998168889431442"/>
    <pageSetUpPr fitToPage="1"/>
  </sheetPr>
  <dimension ref="B2:W29"/>
  <sheetViews>
    <sheetView zoomScale="50" workbookViewId="0">
      <selection activeCell="B2" sqref="B2:W29"/>
    </sheetView>
  </sheetViews>
  <sheetFormatPr baseColWidth="10" defaultRowHeight="16"/>
  <cols>
    <col min="2" max="2" width="30.5" customWidth="1"/>
    <col min="3" max="3" width="17.33203125" customWidth="1"/>
    <col min="4" max="4" width="3.5" customWidth="1"/>
    <col min="5" max="5" width="14.1640625" customWidth="1"/>
    <col min="6" max="6" width="14.6640625" customWidth="1"/>
    <col min="7" max="8" width="14.5" customWidth="1"/>
    <col min="10" max="10" width="8" customWidth="1"/>
    <col min="12" max="12" width="10.6640625" style="180"/>
    <col min="14" max="14" width="0" hidden="1" customWidth="1"/>
    <col min="15" max="15" width="14.33203125" customWidth="1"/>
  </cols>
  <sheetData>
    <row r="2" spans="2:23" ht="39">
      <c r="B2" s="440" t="s">
        <v>506</v>
      </c>
      <c r="C2" s="441"/>
      <c r="D2" s="441"/>
      <c r="E2" s="442"/>
      <c r="F2" s="442"/>
      <c r="G2" s="442"/>
      <c r="H2" s="443"/>
      <c r="I2" s="96"/>
      <c r="J2" s="101" t="s">
        <v>499</v>
      </c>
      <c r="K2" s="102" t="s">
        <v>500</v>
      </c>
      <c r="L2" s="126" t="s">
        <v>476</v>
      </c>
      <c r="M2" s="10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74" t="s">
        <v>465</v>
      </c>
      <c r="C3" s="74"/>
      <c r="D3" s="75"/>
      <c r="E3" s="76" t="s">
        <v>466</v>
      </c>
      <c r="F3" s="77"/>
      <c r="G3" s="77"/>
      <c r="H3" s="78"/>
      <c r="I3" s="96"/>
      <c r="J3" s="109">
        <v>101</v>
      </c>
      <c r="K3" s="446">
        <f>R3/Q3</f>
        <v>2.2424242424242422</v>
      </c>
      <c r="L3" s="450">
        <v>3</v>
      </c>
      <c r="M3" s="452">
        <v>29.9</v>
      </c>
      <c r="N3" s="110">
        <f>L3*M3</f>
        <v>89.699999999999989</v>
      </c>
      <c r="O3" s="454">
        <v>1561429</v>
      </c>
      <c r="P3" s="456">
        <f>Q3/(L3*C22)*100%</f>
        <v>0.70967741935483875</v>
      </c>
      <c r="Q3" s="460">
        <v>66</v>
      </c>
      <c r="R3" s="460">
        <v>148</v>
      </c>
      <c r="S3" s="460">
        <f>L3*C22</f>
        <v>93</v>
      </c>
      <c r="T3" s="454">
        <f>O3/Q3</f>
        <v>23658.015151515152</v>
      </c>
      <c r="U3" s="454">
        <f>O3/R3</f>
        <v>10550.195945945947</v>
      </c>
      <c r="V3" s="454">
        <f>O3/S3</f>
        <v>16789.559139784946</v>
      </c>
      <c r="W3" s="462">
        <f>IFERROR(O3/(N3*C22),0)</f>
        <v>561.52371704966379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I4" s="96"/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46023</v>
      </c>
      <c r="D5" s="75"/>
      <c r="E5" s="84" t="s">
        <v>96</v>
      </c>
      <c r="F5" s="86">
        <v>1254800</v>
      </c>
      <c r="G5" s="87">
        <v>10</v>
      </c>
      <c r="H5" s="88">
        <f t="shared" ref="H5:H13" si="0">IFERROR(F5/$F$13,0)</f>
        <v>0.18685749123118953</v>
      </c>
      <c r="I5" s="96"/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46053</v>
      </c>
      <c r="D6" s="75"/>
      <c r="E6" s="84" t="s">
        <v>119</v>
      </c>
      <c r="F6" s="86">
        <v>707056</v>
      </c>
      <c r="G6" s="87">
        <v>10</v>
      </c>
      <c r="H6" s="88">
        <f t="shared" si="0"/>
        <v>0.10529065215170541</v>
      </c>
      <c r="I6" s="96"/>
      <c r="J6" s="111">
        <v>102</v>
      </c>
      <c r="K6" s="449">
        <f>R6/Q6</f>
        <v>2.652173913043478</v>
      </c>
      <c r="L6" s="451">
        <v>2</v>
      </c>
      <c r="M6" s="453">
        <v>36.700000000000003</v>
      </c>
      <c r="N6" s="87">
        <f>L6*M6</f>
        <v>73.400000000000006</v>
      </c>
      <c r="O6" s="455">
        <v>1314225</v>
      </c>
      <c r="P6" s="459">
        <f>Q6/S6*100%</f>
        <v>0.74193548387096775</v>
      </c>
      <c r="Q6" s="461">
        <v>46</v>
      </c>
      <c r="R6" s="461">
        <v>122</v>
      </c>
      <c r="S6" s="461">
        <f>L6*C22</f>
        <v>62</v>
      </c>
      <c r="T6" s="455">
        <f>O6/Q6</f>
        <v>28570.108695652172</v>
      </c>
      <c r="U6" s="455">
        <f>O6/R6</f>
        <v>10772.336065573771</v>
      </c>
      <c r="V6" s="455">
        <f>O6/S6</f>
        <v>21197.177419354837</v>
      </c>
      <c r="W6" s="463">
        <f>IFERROR(O6/(N6*C22),0)</f>
        <v>577.57976619495469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2614816</v>
      </c>
      <c r="G7" s="87">
        <v>18</v>
      </c>
      <c r="H7" s="88">
        <f t="shared" si="0"/>
        <v>0.38938313499456018</v>
      </c>
      <c r="I7" s="96"/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759373</v>
      </c>
      <c r="G8" s="87">
        <v>11</v>
      </c>
      <c r="H8" s="88">
        <f t="shared" si="0"/>
        <v>0.1130813943964792</v>
      </c>
      <c r="I8" s="96"/>
      <c r="J8" s="111">
        <v>202</v>
      </c>
      <c r="K8" s="449">
        <f>R8/Q8</f>
        <v>3.1403508771929824</v>
      </c>
      <c r="L8" s="451">
        <v>2</v>
      </c>
      <c r="M8" s="453">
        <v>43.1</v>
      </c>
      <c r="N8" s="87">
        <f>L8*M8</f>
        <v>86.2</v>
      </c>
      <c r="O8" s="455">
        <v>2040912</v>
      </c>
      <c r="P8" s="459">
        <f>Q8/S8*100%</f>
        <v>0.91935483870967738</v>
      </c>
      <c r="Q8" s="461">
        <v>57</v>
      </c>
      <c r="R8" s="461">
        <v>179</v>
      </c>
      <c r="S8" s="461">
        <f>L8*C22</f>
        <v>62</v>
      </c>
      <c r="T8" s="455">
        <f>O8/Q8</f>
        <v>35805.473684210527</v>
      </c>
      <c r="U8" s="455">
        <f>O8/R8</f>
        <v>11401.743016759776</v>
      </c>
      <c r="V8" s="455">
        <f>O8/S8</f>
        <v>32917.93548387097</v>
      </c>
      <c r="W8" s="463">
        <f>IFERROR(O8/(N8*C22),0)</f>
        <v>763.75720380211055</v>
      </c>
    </row>
    <row r="9" spans="2:23">
      <c r="B9" s="84" t="s">
        <v>477</v>
      </c>
      <c r="C9" s="91">
        <f>'2026年１月予約一覧表'!L2</f>
        <v>6715278</v>
      </c>
      <c r="D9" s="75"/>
      <c r="E9" s="84" t="s">
        <v>136</v>
      </c>
      <c r="F9" s="86">
        <v>501860</v>
      </c>
      <c r="G9" s="87">
        <v>3</v>
      </c>
      <c r="H9" s="88">
        <f t="shared" si="0"/>
        <v>7.4734061642719785E-2</v>
      </c>
      <c r="I9" s="96"/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'2026年１月予約一覧表'!K2</f>
        <v>187</v>
      </c>
      <c r="D10" s="75"/>
      <c r="E10" s="90" t="s">
        <v>527</v>
      </c>
      <c r="F10" s="86">
        <v>79300</v>
      </c>
      <c r="G10" s="87">
        <v>2</v>
      </c>
      <c r="H10" s="88">
        <f t="shared" si="0"/>
        <v>1.1808893094224841E-2</v>
      </c>
      <c r="I10" s="96"/>
      <c r="J10" s="111">
        <v>403</v>
      </c>
      <c r="K10" s="116">
        <f>R10/Q10</f>
        <v>3.2666666666666666</v>
      </c>
      <c r="L10" s="112">
        <v>1</v>
      </c>
      <c r="M10" s="87">
        <v>46.64</v>
      </c>
      <c r="N10" s="87"/>
      <c r="O10" s="86">
        <v>950712</v>
      </c>
      <c r="P10" s="117">
        <f>Q10/S10*100%</f>
        <v>0.967741935483871</v>
      </c>
      <c r="Q10" s="113">
        <v>30</v>
      </c>
      <c r="R10" s="113">
        <v>98</v>
      </c>
      <c r="S10" s="113">
        <f>L10*C22</f>
        <v>31</v>
      </c>
      <c r="T10" s="86">
        <f>O10/Q10</f>
        <v>31690.400000000001</v>
      </c>
      <c r="U10" s="86">
        <f>O10/R10</f>
        <v>9701.1428571428569</v>
      </c>
      <c r="V10" s="86">
        <f>O10/S10</f>
        <v>30668.129032258064</v>
      </c>
      <c r="W10" s="114">
        <f>IFERROR(O10/(M10*C22),0)</f>
        <v>657.54993636916947</v>
      </c>
    </row>
    <row r="11" spans="2:23">
      <c r="B11" s="84" t="s">
        <v>480</v>
      </c>
      <c r="C11" s="89">
        <f>'2026年１月予約一覧表'!F2</f>
        <v>635</v>
      </c>
      <c r="D11" s="75"/>
      <c r="E11" s="90" t="s">
        <v>239</v>
      </c>
      <c r="F11" s="86">
        <v>333073</v>
      </c>
      <c r="G11" s="87">
        <v>9</v>
      </c>
      <c r="H11" s="88">
        <f t="shared" si="0"/>
        <v>4.9599286879858137E-2</v>
      </c>
      <c r="I11" s="96"/>
      <c r="J11" s="118">
        <v>401</v>
      </c>
      <c r="K11" s="119">
        <f>R11/Q11</f>
        <v>3.52</v>
      </c>
      <c r="L11" s="120">
        <v>1</v>
      </c>
      <c r="M11" s="121">
        <v>60.22</v>
      </c>
      <c r="N11" s="121"/>
      <c r="O11" s="122">
        <v>848000</v>
      </c>
      <c r="P11" s="115">
        <f>Q11/S11*100%</f>
        <v>0.80645161290322576</v>
      </c>
      <c r="Q11" s="123">
        <v>25</v>
      </c>
      <c r="R11" s="123">
        <v>88</v>
      </c>
      <c r="S11" s="123">
        <f>L11*C22</f>
        <v>31</v>
      </c>
      <c r="T11" s="122">
        <f>O11/Q11</f>
        <v>33920</v>
      </c>
      <c r="U11" s="122">
        <f>O11/R11</f>
        <v>9636.363636363636</v>
      </c>
      <c r="V11" s="122">
        <f>O11/S11</f>
        <v>27354.83870967742</v>
      </c>
      <c r="W11" s="124">
        <f>IFERROR(O11/(M11*C22),0)</f>
        <v>454.2484010242016</v>
      </c>
    </row>
    <row r="12" spans="2:23">
      <c r="B12" s="84" t="s">
        <v>481</v>
      </c>
      <c r="C12" s="89">
        <v>9</v>
      </c>
      <c r="D12" s="75"/>
      <c r="E12" s="84" t="s">
        <v>482</v>
      </c>
      <c r="F12" s="86">
        <v>465000</v>
      </c>
      <c r="G12" s="87">
        <v>5</v>
      </c>
      <c r="H12" s="88">
        <f t="shared" si="0"/>
        <v>6.9245085609262944E-2</v>
      </c>
      <c r="I12" s="96"/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 t="shared" ref="O12" si="1">SUM(O3:O11)</f>
        <v>6715278</v>
      </c>
      <c r="P12" s="129"/>
      <c r="Q12" s="130">
        <f t="shared" ref="Q12:S12" si="2">SUM(Q3:Q11)</f>
        <v>224</v>
      </c>
      <c r="R12" s="130">
        <f t="shared" si="2"/>
        <v>635</v>
      </c>
      <c r="S12" s="130">
        <f t="shared" si="2"/>
        <v>279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279</v>
      </c>
      <c r="D13" s="75"/>
      <c r="E13" s="92" t="s">
        <v>160</v>
      </c>
      <c r="F13" s="93">
        <f>SUM(F5:F12)</f>
        <v>6715278</v>
      </c>
      <c r="G13" s="94">
        <f>SUM(G5:G12)</f>
        <v>68</v>
      </c>
      <c r="H13" s="95">
        <f t="shared" si="0"/>
        <v>1</v>
      </c>
      <c r="I13" s="96"/>
      <c r="J13" s="96"/>
      <c r="K13" s="96"/>
      <c r="L13" s="179"/>
      <c r="M13" s="96"/>
      <c r="N13" s="96"/>
      <c r="O13" s="96"/>
      <c r="P13" s="138"/>
      <c r="Q13" s="139"/>
      <c r="R13" s="96"/>
      <c r="S13" s="96"/>
      <c r="T13" s="96"/>
      <c r="U13" s="96"/>
      <c r="V13" s="96"/>
      <c r="W13" s="96"/>
    </row>
    <row r="14" spans="2:23">
      <c r="B14" s="84" t="s">
        <v>484</v>
      </c>
      <c r="C14" s="89">
        <f>'2026年１月予約一覧表'!E2</f>
        <v>224</v>
      </c>
      <c r="D14" s="75"/>
      <c r="E14" s="96"/>
      <c r="F14" s="96"/>
      <c r="G14" s="96"/>
      <c r="H14" s="96"/>
      <c r="I14" s="96"/>
      <c r="J14" s="96"/>
      <c r="K14" s="96"/>
      <c r="L14" s="179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spans="2:23">
      <c r="B15" s="84" t="s">
        <v>485</v>
      </c>
      <c r="C15" s="89">
        <v>52</v>
      </c>
      <c r="D15" s="75"/>
      <c r="E15" s="96"/>
      <c r="F15" s="96"/>
      <c r="G15" s="96"/>
      <c r="H15" s="96"/>
      <c r="I15" s="96"/>
      <c r="J15" s="96"/>
      <c r="K15" s="96"/>
      <c r="L15" s="179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spans="2:23">
      <c r="B16" s="84" t="s">
        <v>486</v>
      </c>
      <c r="C16" s="89">
        <f>'2026年１月予約一覧表'!I2</f>
        <v>68</v>
      </c>
      <c r="D16" s="75"/>
      <c r="E16" s="96"/>
      <c r="F16" s="96"/>
      <c r="G16" s="96"/>
      <c r="H16" s="96"/>
      <c r="I16" s="96"/>
      <c r="J16" s="96"/>
      <c r="K16" s="96"/>
      <c r="L16" s="179"/>
      <c r="M16" s="96"/>
      <c r="N16" s="96"/>
      <c r="O16" s="178"/>
      <c r="P16" s="96"/>
      <c r="Q16" s="96"/>
      <c r="R16" s="96"/>
      <c r="S16" s="96"/>
      <c r="T16" s="96"/>
      <c r="U16" s="96"/>
      <c r="V16" s="96"/>
      <c r="W16" s="96"/>
    </row>
    <row r="17" spans="2:23">
      <c r="B17" s="92" t="s">
        <v>487</v>
      </c>
      <c r="C17" s="97"/>
      <c r="D17" s="75"/>
      <c r="E17" s="96"/>
      <c r="F17" s="96"/>
      <c r="G17" s="96"/>
      <c r="H17" s="96"/>
      <c r="I17" s="96"/>
      <c r="J17" s="96"/>
      <c r="K17" s="96"/>
      <c r="L17" s="179"/>
      <c r="M17" s="96"/>
      <c r="N17" s="96"/>
      <c r="O17" s="178"/>
      <c r="P17" s="96"/>
      <c r="Q17" s="139"/>
      <c r="R17" s="96"/>
      <c r="S17" s="96"/>
      <c r="T17" s="96"/>
      <c r="U17" s="96"/>
      <c r="V17" s="96"/>
      <c r="W17" s="96"/>
    </row>
    <row r="18" spans="2:23">
      <c r="B18" s="98" t="s">
        <v>488</v>
      </c>
      <c r="C18" s="75"/>
      <c r="D18" s="75"/>
      <c r="E18" s="96"/>
      <c r="F18" s="96"/>
      <c r="G18" s="96"/>
      <c r="H18" s="96"/>
      <c r="I18" s="96"/>
      <c r="J18" s="96"/>
      <c r="K18" s="96"/>
      <c r="L18" s="179"/>
      <c r="M18" s="96"/>
      <c r="N18" s="96"/>
      <c r="O18" s="96"/>
      <c r="P18" s="96"/>
      <c r="Q18" s="139"/>
      <c r="R18" s="96"/>
      <c r="S18" s="96"/>
      <c r="T18" s="96"/>
      <c r="U18" s="96"/>
      <c r="V18" s="96"/>
      <c r="W18" s="96"/>
    </row>
    <row r="19" spans="2:23">
      <c r="B19" s="98" t="s">
        <v>489</v>
      </c>
      <c r="C19" s="75"/>
      <c r="D19" s="75"/>
      <c r="E19" s="96"/>
      <c r="F19" s="96"/>
      <c r="G19" s="96"/>
      <c r="H19" s="96"/>
      <c r="I19" s="96"/>
      <c r="J19" s="96"/>
      <c r="K19" s="96"/>
      <c r="L19" s="179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spans="2:23">
      <c r="B20" s="75"/>
      <c r="C20" s="75"/>
      <c r="D20" s="75"/>
      <c r="E20" s="96"/>
      <c r="F20" s="96"/>
      <c r="G20" s="96"/>
      <c r="H20" s="96"/>
      <c r="I20" s="96"/>
      <c r="J20" s="96"/>
      <c r="K20" s="96"/>
      <c r="L20" s="179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spans="2:23">
      <c r="B21" s="99" t="s">
        <v>490</v>
      </c>
      <c r="C21" s="99"/>
      <c r="D21" s="75"/>
      <c r="E21" s="75"/>
      <c r="F21" s="75"/>
      <c r="G21" s="75"/>
      <c r="H21" s="75"/>
      <c r="I21" s="96"/>
      <c r="J21" s="96"/>
      <c r="K21" s="96"/>
      <c r="L21" s="179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spans="2:23">
      <c r="B22" s="79" t="s">
        <v>491</v>
      </c>
      <c r="C22" s="80">
        <f>DATEDIF(C5,C6,"D")+1</f>
        <v>31</v>
      </c>
      <c r="D22" s="75"/>
      <c r="E22" s="75"/>
      <c r="F22" s="75"/>
      <c r="G22" s="75"/>
      <c r="H22" s="75"/>
      <c r="I22" s="96"/>
      <c r="J22" s="96"/>
      <c r="K22" s="96"/>
      <c r="L22" s="179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spans="2:23">
      <c r="B23" s="84" t="s">
        <v>492</v>
      </c>
      <c r="C23" s="100">
        <f>IFERROR(C14/C13,0)</f>
        <v>0.80286738351254483</v>
      </c>
      <c r="D23" s="75"/>
      <c r="E23" s="75"/>
      <c r="F23" s="75"/>
      <c r="G23" s="75"/>
      <c r="H23" s="75"/>
      <c r="I23" s="96"/>
      <c r="J23" s="96"/>
      <c r="K23" s="96"/>
      <c r="L23" s="179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spans="2:23">
      <c r="B24" s="84" t="s">
        <v>493</v>
      </c>
      <c r="C24" s="91">
        <f>IFERROR(C9/C14,0)</f>
        <v>29978.919642857141</v>
      </c>
      <c r="D24" s="75"/>
      <c r="E24" s="75"/>
      <c r="F24" s="75"/>
      <c r="G24" s="75"/>
      <c r="H24" s="75"/>
      <c r="I24" s="96"/>
      <c r="J24" s="96"/>
      <c r="K24" s="96"/>
      <c r="L24" s="179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spans="2:23">
      <c r="B25" s="84" t="s">
        <v>494</v>
      </c>
      <c r="C25" s="91">
        <f>IFERROR(C9/C11,0)</f>
        <v>10575.240944881889</v>
      </c>
      <c r="D25" s="75"/>
      <c r="E25" s="75"/>
      <c r="F25" s="75"/>
      <c r="G25" s="75"/>
      <c r="H25" s="75"/>
      <c r="I25" s="96"/>
      <c r="J25" s="96"/>
      <c r="K25" s="96"/>
      <c r="L25" s="179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spans="2:23">
      <c r="B26" s="84" t="s">
        <v>495</v>
      </c>
      <c r="C26" s="91">
        <f>IFERROR(C9/C13,0)</f>
        <v>24069.096774193549</v>
      </c>
      <c r="D26" s="75"/>
      <c r="E26" s="75"/>
      <c r="F26" s="75"/>
      <c r="G26" s="75"/>
      <c r="H26" s="75"/>
      <c r="I26" s="96"/>
      <c r="J26" s="96"/>
      <c r="K26" s="96"/>
      <c r="L26" s="179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spans="2:23">
      <c r="B27" s="84" t="s">
        <v>496</v>
      </c>
      <c r="C27" s="91">
        <f>IFERROR(C9/(C7*C22),0)</f>
        <v>608.48840159478073</v>
      </c>
      <c r="D27" s="75"/>
      <c r="E27" s="75"/>
      <c r="F27" s="75"/>
      <c r="G27" s="75"/>
      <c r="H27" s="75"/>
      <c r="I27" s="96"/>
      <c r="J27" s="96"/>
      <c r="K27" s="96"/>
      <c r="L27" s="179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spans="2:23">
      <c r="B28" s="84" t="s">
        <v>497</v>
      </c>
      <c r="C28" s="100">
        <f>IFERROR(C15/C16,0)</f>
        <v>0.76470588235294112</v>
      </c>
      <c r="D28" s="75"/>
      <c r="E28" s="75"/>
      <c r="F28" s="75"/>
      <c r="G28" s="75"/>
      <c r="H28" s="75"/>
      <c r="I28" s="96"/>
      <c r="J28" s="96"/>
      <c r="K28" s="96"/>
      <c r="L28" s="179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spans="2:23">
      <c r="B29" s="92" t="s">
        <v>498</v>
      </c>
      <c r="C29" s="97">
        <f>IFERROR(C17/(C14+C17),0)</f>
        <v>0</v>
      </c>
      <c r="D29" s="75"/>
      <c r="E29" s="75"/>
      <c r="F29" s="75"/>
      <c r="G29" s="75"/>
      <c r="H29" s="75"/>
      <c r="I29" s="96"/>
      <c r="J29" s="96"/>
      <c r="K29" s="96"/>
      <c r="L29" s="179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4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656D-FA49-864B-B391-DD14E4953A1F}">
  <sheetPr>
    <tabColor rgb="FFFFFF00"/>
  </sheetPr>
  <dimension ref="B1:R88"/>
  <sheetViews>
    <sheetView workbookViewId="0">
      <selection activeCell="E3" sqref="E3"/>
    </sheetView>
  </sheetViews>
  <sheetFormatPr baseColWidth="10" defaultColWidth="8.83203125" defaultRowHeight="14"/>
  <cols>
    <col min="1" max="1" width="8.83203125" style="201"/>
    <col min="2" max="3" width="13.5" style="201" customWidth="1"/>
    <col min="4" max="4" width="6.5" style="202" customWidth="1"/>
    <col min="5" max="5" width="7.5" style="202" customWidth="1"/>
    <col min="6" max="6" width="8.83203125" style="201"/>
    <col min="7" max="7" width="22.5" style="201" customWidth="1"/>
    <col min="8" max="8" width="6.5" style="202" customWidth="1"/>
    <col min="9" max="9" width="21.1640625" style="201" customWidth="1"/>
    <col min="10" max="10" width="8.83203125" style="201"/>
    <col min="11" max="12" width="6.1640625" style="202" customWidth="1"/>
    <col min="13" max="13" width="13.5" style="208" customWidth="1"/>
    <col min="14" max="16" width="11.1640625" style="208" customWidth="1"/>
    <col min="17" max="17" width="7.83203125" style="202" customWidth="1"/>
    <col min="18" max="18" width="8.83203125" style="202"/>
    <col min="19" max="16384" width="8.83203125" style="201"/>
  </cols>
  <sheetData>
    <row r="1" spans="2:18" ht="15" thickBot="1"/>
    <row r="2" spans="2:18" s="208" customFormat="1" ht="23" customHeight="1" thickBot="1">
      <c r="B2" s="222"/>
      <c r="C2" s="223"/>
      <c r="D2" s="224">
        <f>SUM(D4:D60)</f>
        <v>199</v>
      </c>
      <c r="E2" s="224">
        <f>SUM(E4:E60)</f>
        <v>559</v>
      </c>
      <c r="F2" s="224"/>
      <c r="G2" s="224"/>
      <c r="H2" s="224">
        <f t="shared" ref="H2" si="0">SUM(H4:H60)</f>
        <v>57</v>
      </c>
      <c r="I2" s="224"/>
      <c r="J2" s="224"/>
      <c r="K2" s="224">
        <f t="shared" ref="K2:Q2" si="1">SUM(K4:K60)</f>
        <v>148</v>
      </c>
      <c r="L2" s="224">
        <f t="shared" si="1"/>
        <v>15</v>
      </c>
      <c r="M2" s="225">
        <f t="shared" si="1"/>
        <v>5113703</v>
      </c>
      <c r="N2" s="225">
        <f t="shared" si="1"/>
        <v>649215</v>
      </c>
      <c r="O2" s="225">
        <f t="shared" si="1"/>
        <v>47898</v>
      </c>
      <c r="P2" s="225">
        <f t="shared" si="1"/>
        <v>4412350</v>
      </c>
      <c r="Q2" s="225">
        <f t="shared" si="1"/>
        <v>4240</v>
      </c>
      <c r="R2" s="226"/>
    </row>
    <row r="3" spans="2:18" s="217" customFormat="1" ht="40" customHeight="1">
      <c r="B3" s="218" t="s">
        <v>23</v>
      </c>
      <c r="C3" s="219" t="s">
        <v>24</v>
      </c>
      <c r="D3" s="220" t="s">
        <v>26</v>
      </c>
      <c r="E3" s="220" t="s">
        <v>463</v>
      </c>
      <c r="F3" s="219" t="s">
        <v>402</v>
      </c>
      <c r="G3" s="219" t="s">
        <v>28</v>
      </c>
      <c r="H3" s="220" t="s">
        <v>29</v>
      </c>
      <c r="I3" s="219" t="s">
        <v>30</v>
      </c>
      <c r="J3" s="219" t="s">
        <v>403</v>
      </c>
      <c r="K3" s="220" t="s">
        <v>404</v>
      </c>
      <c r="L3" s="220" t="s">
        <v>405</v>
      </c>
      <c r="M3" s="219" t="s">
        <v>32</v>
      </c>
      <c r="N3" s="219" t="s">
        <v>33</v>
      </c>
      <c r="O3" s="219" t="s">
        <v>34</v>
      </c>
      <c r="P3" s="219" t="s">
        <v>406</v>
      </c>
      <c r="Q3" s="220" t="s">
        <v>407</v>
      </c>
      <c r="R3" s="221" t="s">
        <v>38</v>
      </c>
    </row>
    <row r="4" spans="2:18" ht="27" customHeight="1">
      <c r="B4" s="210">
        <v>46050</v>
      </c>
      <c r="C4" s="203">
        <v>46054</v>
      </c>
      <c r="D4" s="204">
        <v>4</v>
      </c>
      <c r="E4" s="204">
        <f>D4*(K4+L4)</f>
        <v>16</v>
      </c>
      <c r="F4" s="203" t="s">
        <v>96</v>
      </c>
      <c r="G4" s="203" t="s">
        <v>71</v>
      </c>
      <c r="H4" s="204">
        <v>1</v>
      </c>
      <c r="I4" s="203" t="s">
        <v>521</v>
      </c>
      <c r="J4" s="203" t="s">
        <v>57</v>
      </c>
      <c r="K4" s="204">
        <v>4</v>
      </c>
      <c r="L4" s="204">
        <v>0</v>
      </c>
      <c r="M4" s="205">
        <v>130240</v>
      </c>
      <c r="N4" s="205">
        <v>20187</v>
      </c>
      <c r="O4" s="205">
        <v>0</v>
      </c>
      <c r="P4" s="205">
        <f t="shared" ref="P4:P11" si="2">M4-N4-O4</f>
        <v>110053</v>
      </c>
      <c r="Q4" s="204">
        <v>0</v>
      </c>
      <c r="R4" s="211" t="s">
        <v>46</v>
      </c>
    </row>
    <row r="5" spans="2:18" ht="27" customHeight="1">
      <c r="B5" s="210">
        <v>46052</v>
      </c>
      <c r="C5" s="203">
        <v>46054</v>
      </c>
      <c r="D5" s="204">
        <v>2</v>
      </c>
      <c r="E5" s="204">
        <f t="shared" ref="E5:E60" si="3">D5*(K5+L5)</f>
        <v>4</v>
      </c>
      <c r="F5" s="203" t="s">
        <v>96</v>
      </c>
      <c r="G5" s="203" t="s">
        <v>49</v>
      </c>
      <c r="H5" s="204">
        <v>1</v>
      </c>
      <c r="I5" s="203" t="s">
        <v>522</v>
      </c>
      <c r="J5" s="203" t="s">
        <v>57</v>
      </c>
      <c r="K5" s="204">
        <v>2</v>
      </c>
      <c r="L5" s="204">
        <v>0</v>
      </c>
      <c r="M5" s="205">
        <v>35190</v>
      </c>
      <c r="N5" s="205">
        <v>5454</v>
      </c>
      <c r="O5" s="205">
        <v>0</v>
      </c>
      <c r="P5" s="205">
        <f t="shared" si="2"/>
        <v>29736</v>
      </c>
      <c r="Q5" s="204">
        <v>0</v>
      </c>
      <c r="R5" s="211" t="s">
        <v>46</v>
      </c>
    </row>
    <row r="6" spans="2:18" ht="27" customHeight="1">
      <c r="B6" s="210">
        <v>46054</v>
      </c>
      <c r="C6" s="203">
        <v>46061</v>
      </c>
      <c r="D6" s="204">
        <v>7</v>
      </c>
      <c r="E6" s="204">
        <f t="shared" si="3"/>
        <v>21</v>
      </c>
      <c r="F6" s="203" t="s">
        <v>96</v>
      </c>
      <c r="G6" s="203" t="s">
        <v>56</v>
      </c>
      <c r="H6" s="204">
        <v>1</v>
      </c>
      <c r="I6" s="203" t="s">
        <v>408</v>
      </c>
      <c r="J6" s="203" t="s">
        <v>409</v>
      </c>
      <c r="K6" s="204">
        <v>3</v>
      </c>
      <c r="L6" s="204">
        <v>0</v>
      </c>
      <c r="M6" s="205">
        <v>155100</v>
      </c>
      <c r="N6" s="205">
        <v>24041</v>
      </c>
      <c r="O6" s="205">
        <v>0</v>
      </c>
      <c r="P6" s="205">
        <f t="shared" si="2"/>
        <v>131059</v>
      </c>
      <c r="Q6" s="204">
        <v>0</v>
      </c>
      <c r="R6" s="211" t="s">
        <v>46</v>
      </c>
    </row>
    <row r="7" spans="2:18" ht="27" customHeight="1">
      <c r="B7" s="210">
        <v>46061</v>
      </c>
      <c r="C7" s="203">
        <v>46064</v>
      </c>
      <c r="D7" s="204">
        <v>3</v>
      </c>
      <c r="E7" s="204">
        <f t="shared" si="3"/>
        <v>6</v>
      </c>
      <c r="F7" s="203" t="s">
        <v>96</v>
      </c>
      <c r="G7" s="203" t="s">
        <v>71</v>
      </c>
      <c r="H7" s="204">
        <v>1</v>
      </c>
      <c r="I7" s="203" t="s">
        <v>410</v>
      </c>
      <c r="J7" s="203" t="s">
        <v>366</v>
      </c>
      <c r="K7" s="204">
        <v>2</v>
      </c>
      <c r="L7" s="204">
        <v>0</v>
      </c>
      <c r="M7" s="205">
        <v>59700</v>
      </c>
      <c r="N7" s="205">
        <v>9254</v>
      </c>
      <c r="O7" s="205">
        <v>0</v>
      </c>
      <c r="P7" s="205">
        <f t="shared" si="2"/>
        <v>50446</v>
      </c>
      <c r="Q7" s="204">
        <v>0</v>
      </c>
      <c r="R7" s="211" t="s">
        <v>46</v>
      </c>
    </row>
    <row r="8" spans="2:18" ht="27" customHeight="1">
      <c r="B8" s="210">
        <v>46064</v>
      </c>
      <c r="C8" s="203">
        <v>46070</v>
      </c>
      <c r="D8" s="204">
        <v>6</v>
      </c>
      <c r="E8" s="204">
        <f t="shared" si="3"/>
        <v>24</v>
      </c>
      <c r="F8" s="203" t="s">
        <v>96</v>
      </c>
      <c r="G8" s="203" t="s">
        <v>71</v>
      </c>
      <c r="H8" s="204">
        <v>1</v>
      </c>
      <c r="I8" s="203" t="s">
        <v>411</v>
      </c>
      <c r="J8" s="203" t="s">
        <v>45</v>
      </c>
      <c r="K8" s="204">
        <v>4</v>
      </c>
      <c r="L8" s="204">
        <v>0</v>
      </c>
      <c r="M8" s="205">
        <v>221000</v>
      </c>
      <c r="N8" s="205">
        <v>34255</v>
      </c>
      <c r="O8" s="205">
        <v>0</v>
      </c>
      <c r="P8" s="205">
        <f t="shared" si="2"/>
        <v>186745</v>
      </c>
      <c r="Q8" s="204">
        <v>0</v>
      </c>
      <c r="R8" s="211" t="s">
        <v>46</v>
      </c>
    </row>
    <row r="9" spans="2:18" ht="27" customHeight="1">
      <c r="B9" s="210">
        <v>46066</v>
      </c>
      <c r="C9" s="203">
        <v>46069</v>
      </c>
      <c r="D9" s="204">
        <v>3</v>
      </c>
      <c r="E9" s="204">
        <f t="shared" si="3"/>
        <v>9</v>
      </c>
      <c r="F9" s="203" t="s">
        <v>96</v>
      </c>
      <c r="G9" s="203" t="s">
        <v>56</v>
      </c>
      <c r="H9" s="204">
        <v>1</v>
      </c>
      <c r="I9" s="203" t="s">
        <v>412</v>
      </c>
      <c r="J9" s="203" t="s">
        <v>67</v>
      </c>
      <c r="K9" s="204">
        <v>3</v>
      </c>
      <c r="L9" s="204">
        <v>0</v>
      </c>
      <c r="M9" s="205">
        <v>118500</v>
      </c>
      <c r="N9" s="205">
        <v>18368</v>
      </c>
      <c r="O9" s="205">
        <v>0</v>
      </c>
      <c r="P9" s="205">
        <f t="shared" si="2"/>
        <v>100132</v>
      </c>
      <c r="Q9" s="204">
        <v>0</v>
      </c>
      <c r="R9" s="211" t="s">
        <v>46</v>
      </c>
    </row>
    <row r="10" spans="2:18" ht="27" customHeight="1">
      <c r="B10" s="210">
        <v>46069</v>
      </c>
      <c r="C10" s="203">
        <v>46071</v>
      </c>
      <c r="D10" s="204">
        <v>2</v>
      </c>
      <c r="E10" s="204">
        <f t="shared" si="3"/>
        <v>6</v>
      </c>
      <c r="F10" s="203" t="s">
        <v>96</v>
      </c>
      <c r="G10" s="203" t="s">
        <v>71</v>
      </c>
      <c r="H10" s="204">
        <v>1</v>
      </c>
      <c r="I10" s="203" t="s">
        <v>413</v>
      </c>
      <c r="J10" s="203" t="s">
        <v>57</v>
      </c>
      <c r="K10" s="204">
        <v>3</v>
      </c>
      <c r="L10" s="204">
        <v>0</v>
      </c>
      <c r="M10" s="205">
        <v>41800</v>
      </c>
      <c r="N10" s="205">
        <v>6479</v>
      </c>
      <c r="O10" s="205">
        <v>0</v>
      </c>
      <c r="P10" s="205">
        <f t="shared" si="2"/>
        <v>35321</v>
      </c>
      <c r="Q10" s="204">
        <v>0</v>
      </c>
      <c r="R10" s="211" t="s">
        <v>46</v>
      </c>
    </row>
    <row r="11" spans="2:18" ht="27" customHeight="1">
      <c r="B11" s="210">
        <v>46075</v>
      </c>
      <c r="C11" s="203">
        <v>46077</v>
      </c>
      <c r="D11" s="204">
        <v>2</v>
      </c>
      <c r="E11" s="204">
        <f t="shared" si="3"/>
        <v>6</v>
      </c>
      <c r="F11" s="203" t="s">
        <v>96</v>
      </c>
      <c r="G11" s="203" t="s">
        <v>71</v>
      </c>
      <c r="H11" s="204">
        <v>1</v>
      </c>
      <c r="I11" s="203" t="s">
        <v>414</v>
      </c>
      <c r="J11" s="203" t="s">
        <v>366</v>
      </c>
      <c r="K11" s="204">
        <v>3</v>
      </c>
      <c r="L11" s="204">
        <v>0</v>
      </c>
      <c r="M11" s="205">
        <v>56120</v>
      </c>
      <c r="N11" s="205">
        <v>8699</v>
      </c>
      <c r="O11" s="205">
        <v>0</v>
      </c>
      <c r="P11" s="205">
        <f t="shared" si="2"/>
        <v>47421</v>
      </c>
      <c r="Q11" s="204">
        <v>0</v>
      </c>
      <c r="R11" s="211" t="s">
        <v>46</v>
      </c>
    </row>
    <row r="12" spans="2:18" ht="27" customHeight="1">
      <c r="B12" s="210">
        <v>46051</v>
      </c>
      <c r="C12" s="203">
        <v>46054</v>
      </c>
      <c r="D12" s="204">
        <v>3</v>
      </c>
      <c r="E12" s="204">
        <f t="shared" si="3"/>
        <v>9</v>
      </c>
      <c r="F12" s="203" t="s">
        <v>42</v>
      </c>
      <c r="G12" s="203" t="s">
        <v>54</v>
      </c>
      <c r="H12" s="204">
        <v>1</v>
      </c>
      <c r="I12" s="203" t="s">
        <v>415</v>
      </c>
      <c r="J12" s="203" t="s">
        <v>57</v>
      </c>
      <c r="K12" s="204">
        <v>3</v>
      </c>
      <c r="L12" s="204">
        <v>0</v>
      </c>
      <c r="M12" s="205">
        <v>69324</v>
      </c>
      <c r="N12" s="205">
        <v>8318</v>
      </c>
      <c r="O12" s="205">
        <v>0</v>
      </c>
      <c r="P12" s="205">
        <f t="shared" ref="P12:P22" si="4">SUM(M12-N12-O12)</f>
        <v>61006</v>
      </c>
      <c r="Q12" s="204">
        <v>0</v>
      </c>
      <c r="R12" s="211" t="s">
        <v>46</v>
      </c>
    </row>
    <row r="13" spans="2:18" ht="27" customHeight="1">
      <c r="B13" s="210">
        <v>46056</v>
      </c>
      <c r="C13" s="203">
        <v>46061</v>
      </c>
      <c r="D13" s="204">
        <v>5</v>
      </c>
      <c r="E13" s="204">
        <f t="shared" si="3"/>
        <v>10</v>
      </c>
      <c r="F13" s="203" t="s">
        <v>42</v>
      </c>
      <c r="G13" s="203" t="s">
        <v>54</v>
      </c>
      <c r="H13" s="204">
        <v>1</v>
      </c>
      <c r="I13" s="203" t="s">
        <v>416</v>
      </c>
      <c r="J13" s="203" t="s">
        <v>51</v>
      </c>
      <c r="K13" s="204">
        <v>2</v>
      </c>
      <c r="L13" s="204">
        <v>0</v>
      </c>
      <c r="M13" s="205">
        <v>117326</v>
      </c>
      <c r="N13" s="205">
        <v>14079</v>
      </c>
      <c r="O13" s="205">
        <v>0</v>
      </c>
      <c r="P13" s="205">
        <f t="shared" si="4"/>
        <v>103247</v>
      </c>
      <c r="Q13" s="204">
        <v>0</v>
      </c>
      <c r="R13" s="211" t="s">
        <v>46</v>
      </c>
    </row>
    <row r="14" spans="2:18" ht="27" customHeight="1">
      <c r="B14" s="210">
        <v>46056</v>
      </c>
      <c r="C14" s="203">
        <v>46060</v>
      </c>
      <c r="D14" s="204">
        <v>4</v>
      </c>
      <c r="E14" s="204">
        <f t="shared" si="3"/>
        <v>16</v>
      </c>
      <c r="F14" s="203" t="s">
        <v>42</v>
      </c>
      <c r="G14" s="203" t="s">
        <v>43</v>
      </c>
      <c r="H14" s="204">
        <v>1</v>
      </c>
      <c r="I14" s="203" t="s">
        <v>417</v>
      </c>
      <c r="J14" s="203" t="s">
        <v>57</v>
      </c>
      <c r="K14" s="204">
        <v>4</v>
      </c>
      <c r="L14" s="204">
        <v>0</v>
      </c>
      <c r="M14" s="205">
        <v>104160</v>
      </c>
      <c r="N14" s="205">
        <v>12500</v>
      </c>
      <c r="O14" s="205">
        <v>0</v>
      </c>
      <c r="P14" s="205">
        <f t="shared" si="4"/>
        <v>91660</v>
      </c>
      <c r="Q14" s="204">
        <v>0</v>
      </c>
      <c r="R14" s="211" t="s">
        <v>46</v>
      </c>
    </row>
    <row r="15" spans="2:18" ht="27" customHeight="1">
      <c r="B15" s="210">
        <v>46058</v>
      </c>
      <c r="C15" s="203">
        <v>46060</v>
      </c>
      <c r="D15" s="204">
        <v>2</v>
      </c>
      <c r="E15" s="204">
        <f t="shared" si="3"/>
        <v>10</v>
      </c>
      <c r="F15" s="203" t="s">
        <v>42</v>
      </c>
      <c r="G15" s="203" t="s">
        <v>71</v>
      </c>
      <c r="H15" s="204">
        <v>1</v>
      </c>
      <c r="I15" s="203" t="s">
        <v>418</v>
      </c>
      <c r="J15" s="203" t="s">
        <v>84</v>
      </c>
      <c r="K15" s="204">
        <v>3</v>
      </c>
      <c r="L15" s="204">
        <v>2</v>
      </c>
      <c r="M15" s="205">
        <v>66140</v>
      </c>
      <c r="N15" s="205">
        <v>7936</v>
      </c>
      <c r="O15" s="205">
        <v>0</v>
      </c>
      <c r="P15" s="205">
        <f t="shared" si="4"/>
        <v>58204</v>
      </c>
      <c r="Q15" s="204">
        <v>0</v>
      </c>
      <c r="R15" s="211" t="s">
        <v>46</v>
      </c>
    </row>
    <row r="16" spans="2:18" ht="27" customHeight="1">
      <c r="B16" s="210">
        <v>46058</v>
      </c>
      <c r="C16" s="203">
        <v>46062</v>
      </c>
      <c r="D16" s="204">
        <v>4</v>
      </c>
      <c r="E16" s="204">
        <f t="shared" si="3"/>
        <v>20</v>
      </c>
      <c r="F16" s="203" t="s">
        <v>42</v>
      </c>
      <c r="G16" s="203" t="s">
        <v>71</v>
      </c>
      <c r="H16" s="204">
        <v>1</v>
      </c>
      <c r="I16" s="203" t="s">
        <v>419</v>
      </c>
      <c r="J16" s="203" t="s">
        <v>45</v>
      </c>
      <c r="K16" s="204">
        <v>2</v>
      </c>
      <c r="L16" s="204">
        <v>3</v>
      </c>
      <c r="M16" s="205">
        <v>171390</v>
      </c>
      <c r="N16" s="205">
        <v>20568</v>
      </c>
      <c r="O16" s="205">
        <v>0</v>
      </c>
      <c r="P16" s="205">
        <f t="shared" si="4"/>
        <v>150822</v>
      </c>
      <c r="Q16" s="204">
        <v>0</v>
      </c>
      <c r="R16" s="211" t="s">
        <v>46</v>
      </c>
    </row>
    <row r="17" spans="2:18" ht="27" customHeight="1">
      <c r="B17" s="210">
        <v>46060</v>
      </c>
      <c r="C17" s="203">
        <v>46064</v>
      </c>
      <c r="D17" s="204">
        <v>4</v>
      </c>
      <c r="E17" s="204">
        <f t="shared" si="3"/>
        <v>16</v>
      </c>
      <c r="F17" s="203" t="s">
        <v>42</v>
      </c>
      <c r="G17" s="203" t="s">
        <v>43</v>
      </c>
      <c r="H17" s="204">
        <v>1</v>
      </c>
      <c r="I17" s="203" t="s">
        <v>420</v>
      </c>
      <c r="J17" s="203" t="s">
        <v>57</v>
      </c>
      <c r="K17" s="204">
        <v>2</v>
      </c>
      <c r="L17" s="204">
        <v>2</v>
      </c>
      <c r="M17" s="205">
        <v>130928</v>
      </c>
      <c r="N17" s="205">
        <v>15712</v>
      </c>
      <c r="O17" s="205">
        <v>0</v>
      </c>
      <c r="P17" s="205">
        <f t="shared" si="4"/>
        <v>115216</v>
      </c>
      <c r="Q17" s="204">
        <v>0</v>
      </c>
      <c r="R17" s="211" t="s">
        <v>46</v>
      </c>
    </row>
    <row r="18" spans="2:18" ht="27" customHeight="1">
      <c r="B18" s="210">
        <v>46063</v>
      </c>
      <c r="C18" s="203">
        <v>46066</v>
      </c>
      <c r="D18" s="204">
        <v>3</v>
      </c>
      <c r="E18" s="204">
        <f t="shared" si="3"/>
        <v>9</v>
      </c>
      <c r="F18" s="203" t="s">
        <v>42</v>
      </c>
      <c r="G18" s="203" t="s">
        <v>54</v>
      </c>
      <c r="H18" s="204">
        <v>1</v>
      </c>
      <c r="I18" s="203" t="s">
        <v>421</v>
      </c>
      <c r="J18" s="203" t="s">
        <v>57</v>
      </c>
      <c r="K18" s="204">
        <v>3</v>
      </c>
      <c r="L18" s="204">
        <v>0</v>
      </c>
      <c r="M18" s="205">
        <v>75378</v>
      </c>
      <c r="N18" s="205">
        <v>9044</v>
      </c>
      <c r="O18" s="205">
        <v>0</v>
      </c>
      <c r="P18" s="205">
        <f t="shared" si="4"/>
        <v>66334</v>
      </c>
      <c r="Q18" s="204">
        <v>0</v>
      </c>
      <c r="R18" s="211" t="s">
        <v>46</v>
      </c>
    </row>
    <row r="19" spans="2:18" ht="27" customHeight="1">
      <c r="B19" s="210">
        <v>46064</v>
      </c>
      <c r="C19" s="203">
        <v>46067</v>
      </c>
      <c r="D19" s="204">
        <v>3</v>
      </c>
      <c r="E19" s="204">
        <f t="shared" si="3"/>
        <v>12</v>
      </c>
      <c r="F19" s="203" t="s">
        <v>42</v>
      </c>
      <c r="G19" s="203" t="s">
        <v>54</v>
      </c>
      <c r="H19" s="204">
        <v>1</v>
      </c>
      <c r="I19" s="203" t="s">
        <v>422</v>
      </c>
      <c r="J19" s="203" t="s">
        <v>57</v>
      </c>
      <c r="K19" s="204">
        <v>2</v>
      </c>
      <c r="L19" s="204">
        <v>2</v>
      </c>
      <c r="M19" s="205">
        <v>91400</v>
      </c>
      <c r="N19" s="205">
        <v>10968</v>
      </c>
      <c r="O19" s="205">
        <v>0</v>
      </c>
      <c r="P19" s="205">
        <f t="shared" si="4"/>
        <v>80432</v>
      </c>
      <c r="Q19" s="204">
        <v>0</v>
      </c>
      <c r="R19" s="211" t="s">
        <v>46</v>
      </c>
    </row>
    <row r="20" spans="2:18" ht="27" customHeight="1">
      <c r="B20" s="210">
        <v>46066</v>
      </c>
      <c r="C20" s="203">
        <v>46069</v>
      </c>
      <c r="D20" s="204">
        <v>3</v>
      </c>
      <c r="E20" s="204">
        <f t="shared" si="3"/>
        <v>9</v>
      </c>
      <c r="F20" s="203" t="s">
        <v>42</v>
      </c>
      <c r="G20" s="203" t="s">
        <v>54</v>
      </c>
      <c r="H20" s="204">
        <v>1</v>
      </c>
      <c r="I20" s="203" t="s">
        <v>423</v>
      </c>
      <c r="J20" s="203" t="s">
        <v>57</v>
      </c>
      <c r="K20" s="204">
        <v>3</v>
      </c>
      <c r="L20" s="204">
        <v>0</v>
      </c>
      <c r="M20" s="205">
        <v>89259</v>
      </c>
      <c r="N20" s="205">
        <v>10710</v>
      </c>
      <c r="O20" s="205">
        <v>0</v>
      </c>
      <c r="P20" s="205">
        <f t="shared" si="4"/>
        <v>78549</v>
      </c>
      <c r="Q20" s="204">
        <v>0</v>
      </c>
      <c r="R20" s="211" t="s">
        <v>46</v>
      </c>
    </row>
    <row r="21" spans="2:18" ht="27" customHeight="1">
      <c r="B21" s="210">
        <v>46070</v>
      </c>
      <c r="C21" s="203">
        <v>46079</v>
      </c>
      <c r="D21" s="204">
        <v>9</v>
      </c>
      <c r="E21" s="204">
        <f t="shared" si="3"/>
        <v>18</v>
      </c>
      <c r="F21" s="203" t="s">
        <v>42</v>
      </c>
      <c r="G21" s="203" t="s">
        <v>54</v>
      </c>
      <c r="H21" s="204">
        <v>1</v>
      </c>
      <c r="I21" s="203" t="s">
        <v>123</v>
      </c>
      <c r="J21" s="203" t="s">
        <v>335</v>
      </c>
      <c r="K21" s="204">
        <v>2</v>
      </c>
      <c r="L21" s="204">
        <v>0</v>
      </c>
      <c r="M21" s="205">
        <v>231700</v>
      </c>
      <c r="N21" s="205">
        <v>27804</v>
      </c>
      <c r="O21" s="205">
        <v>0</v>
      </c>
      <c r="P21" s="205">
        <f t="shared" si="4"/>
        <v>203896</v>
      </c>
      <c r="Q21" s="204">
        <v>0</v>
      </c>
      <c r="R21" s="211" t="s">
        <v>46</v>
      </c>
    </row>
    <row r="22" spans="2:18" ht="27" customHeight="1">
      <c r="B22" s="210">
        <v>46077</v>
      </c>
      <c r="C22" s="203">
        <v>46079</v>
      </c>
      <c r="D22" s="204">
        <v>2</v>
      </c>
      <c r="E22" s="204">
        <f t="shared" si="3"/>
        <v>8</v>
      </c>
      <c r="F22" s="203" t="s">
        <v>42</v>
      </c>
      <c r="G22" s="203" t="s">
        <v>71</v>
      </c>
      <c r="H22" s="204">
        <v>1</v>
      </c>
      <c r="I22" s="203" t="s">
        <v>424</v>
      </c>
      <c r="J22" s="203" t="s">
        <v>351</v>
      </c>
      <c r="K22" s="204">
        <v>4</v>
      </c>
      <c r="L22" s="204">
        <v>0</v>
      </c>
      <c r="M22" s="205">
        <v>66144</v>
      </c>
      <c r="N22" s="205">
        <v>7938</v>
      </c>
      <c r="O22" s="205">
        <v>0</v>
      </c>
      <c r="P22" s="205">
        <f t="shared" si="4"/>
        <v>58206</v>
      </c>
      <c r="Q22" s="204">
        <v>0</v>
      </c>
      <c r="R22" s="211" t="s">
        <v>46</v>
      </c>
    </row>
    <row r="23" spans="2:18" ht="27" customHeight="1">
      <c r="B23" s="210">
        <v>46051</v>
      </c>
      <c r="C23" s="203">
        <v>46055</v>
      </c>
      <c r="D23" s="204">
        <v>4</v>
      </c>
      <c r="E23" s="204">
        <f t="shared" si="3"/>
        <v>12</v>
      </c>
      <c r="F23" s="203" t="s">
        <v>158</v>
      </c>
      <c r="G23" s="203" t="s">
        <v>54</v>
      </c>
      <c r="H23" s="204">
        <v>1</v>
      </c>
      <c r="I23" s="203" t="s">
        <v>425</v>
      </c>
      <c r="J23" s="203" t="s">
        <v>45</v>
      </c>
      <c r="K23" s="204">
        <v>2</v>
      </c>
      <c r="L23" s="204">
        <v>1</v>
      </c>
      <c r="M23" s="205">
        <v>88076</v>
      </c>
      <c r="N23" s="205">
        <v>10569</v>
      </c>
      <c r="O23" s="205">
        <v>2026</v>
      </c>
      <c r="P23" s="205">
        <f t="shared" ref="P23:P32" si="5">M23-N23-O23</f>
        <v>75481</v>
      </c>
      <c r="Q23" s="204">
        <v>0</v>
      </c>
      <c r="R23" s="211" t="s">
        <v>46</v>
      </c>
    </row>
    <row r="24" spans="2:18" ht="27" customHeight="1">
      <c r="B24" s="210">
        <v>46052</v>
      </c>
      <c r="C24" s="203">
        <v>46056</v>
      </c>
      <c r="D24" s="204">
        <v>4</v>
      </c>
      <c r="E24" s="204">
        <f t="shared" si="3"/>
        <v>12</v>
      </c>
      <c r="F24" s="203" t="s">
        <v>158</v>
      </c>
      <c r="G24" s="203" t="s">
        <v>43</v>
      </c>
      <c r="H24" s="204">
        <v>1</v>
      </c>
      <c r="I24" s="203" t="s">
        <v>426</v>
      </c>
      <c r="J24" s="203" t="s">
        <v>45</v>
      </c>
      <c r="K24" s="204">
        <v>3</v>
      </c>
      <c r="L24" s="204">
        <v>0</v>
      </c>
      <c r="M24" s="205">
        <v>89300</v>
      </c>
      <c r="N24" s="205">
        <v>10716</v>
      </c>
      <c r="O24" s="205">
        <v>2054</v>
      </c>
      <c r="P24" s="205">
        <f t="shared" si="5"/>
        <v>76530</v>
      </c>
      <c r="Q24" s="204">
        <v>0</v>
      </c>
      <c r="R24" s="211" t="s">
        <v>46</v>
      </c>
    </row>
    <row r="25" spans="2:18" ht="27" customHeight="1">
      <c r="B25" s="210">
        <v>46045</v>
      </c>
      <c r="C25" s="203">
        <v>46058</v>
      </c>
      <c r="D25" s="204">
        <v>13</v>
      </c>
      <c r="E25" s="204">
        <f t="shared" si="3"/>
        <v>26</v>
      </c>
      <c r="F25" s="203" t="s">
        <v>158</v>
      </c>
      <c r="G25" s="203" t="s">
        <v>49</v>
      </c>
      <c r="H25" s="204">
        <v>1</v>
      </c>
      <c r="I25" s="203" t="s">
        <v>427</v>
      </c>
      <c r="J25" s="203" t="s">
        <v>428</v>
      </c>
      <c r="K25" s="204">
        <v>2</v>
      </c>
      <c r="L25" s="204">
        <v>0</v>
      </c>
      <c r="M25" s="205">
        <v>284000</v>
      </c>
      <c r="N25" s="205">
        <v>34080</v>
      </c>
      <c r="O25" s="205">
        <v>6532</v>
      </c>
      <c r="P25" s="205">
        <f t="shared" si="5"/>
        <v>243388</v>
      </c>
      <c r="Q25" s="204">
        <v>0</v>
      </c>
      <c r="R25" s="211" t="s">
        <v>46</v>
      </c>
    </row>
    <row r="26" spans="2:18" ht="27" customHeight="1">
      <c r="B26" s="210">
        <v>46059</v>
      </c>
      <c r="C26" s="203">
        <v>46064</v>
      </c>
      <c r="D26" s="204">
        <v>5</v>
      </c>
      <c r="E26" s="204">
        <f t="shared" si="3"/>
        <v>15</v>
      </c>
      <c r="F26" s="203" t="s">
        <v>158</v>
      </c>
      <c r="G26" s="203" t="s">
        <v>54</v>
      </c>
      <c r="H26" s="204">
        <v>1</v>
      </c>
      <c r="I26" s="203" t="s">
        <v>429</v>
      </c>
      <c r="J26" s="203" t="s">
        <v>45</v>
      </c>
      <c r="K26" s="204">
        <v>3</v>
      </c>
      <c r="L26" s="204">
        <v>0</v>
      </c>
      <c r="M26" s="205">
        <v>130898</v>
      </c>
      <c r="N26" s="205">
        <v>15708</v>
      </c>
      <c r="O26" s="205">
        <v>3011</v>
      </c>
      <c r="P26" s="205">
        <f t="shared" si="5"/>
        <v>112179</v>
      </c>
      <c r="Q26" s="204">
        <v>0</v>
      </c>
      <c r="R26" s="211" t="s">
        <v>46</v>
      </c>
    </row>
    <row r="27" spans="2:18" ht="27" customHeight="1">
      <c r="B27" s="210">
        <v>46061</v>
      </c>
      <c r="C27" s="203">
        <v>46065</v>
      </c>
      <c r="D27" s="204">
        <v>4</v>
      </c>
      <c r="E27" s="204">
        <f t="shared" si="3"/>
        <v>16</v>
      </c>
      <c r="F27" s="203" t="s">
        <v>158</v>
      </c>
      <c r="G27" s="203" t="s">
        <v>56</v>
      </c>
      <c r="H27" s="204">
        <v>1</v>
      </c>
      <c r="I27" s="203" t="s">
        <v>430</v>
      </c>
      <c r="J27" s="203" t="s">
        <v>431</v>
      </c>
      <c r="K27" s="204">
        <v>4</v>
      </c>
      <c r="L27" s="204">
        <v>0</v>
      </c>
      <c r="M27" s="205">
        <v>132000</v>
      </c>
      <c r="N27" s="205">
        <v>15840</v>
      </c>
      <c r="O27" s="205">
        <v>3036</v>
      </c>
      <c r="P27" s="205">
        <f t="shared" si="5"/>
        <v>113124</v>
      </c>
      <c r="Q27" s="204">
        <v>0</v>
      </c>
      <c r="R27" s="211" t="s">
        <v>46</v>
      </c>
    </row>
    <row r="28" spans="2:18" ht="27" customHeight="1">
      <c r="B28" s="210">
        <v>46056</v>
      </c>
      <c r="C28" s="203">
        <v>46067</v>
      </c>
      <c r="D28" s="204">
        <v>11</v>
      </c>
      <c r="E28" s="204">
        <f t="shared" si="3"/>
        <v>22</v>
      </c>
      <c r="F28" s="203" t="s">
        <v>158</v>
      </c>
      <c r="G28" s="203" t="s">
        <v>49</v>
      </c>
      <c r="H28" s="204">
        <v>1</v>
      </c>
      <c r="I28" s="203" t="s">
        <v>432</v>
      </c>
      <c r="J28" s="203" t="s">
        <v>45</v>
      </c>
      <c r="K28" s="204">
        <v>2</v>
      </c>
      <c r="L28" s="204">
        <v>0</v>
      </c>
      <c r="M28" s="205">
        <v>212415</v>
      </c>
      <c r="N28" s="205">
        <v>25490</v>
      </c>
      <c r="O28" s="205">
        <v>4886</v>
      </c>
      <c r="P28" s="205">
        <f t="shared" si="5"/>
        <v>182039</v>
      </c>
      <c r="Q28" s="204">
        <v>0</v>
      </c>
      <c r="R28" s="211" t="s">
        <v>46</v>
      </c>
    </row>
    <row r="29" spans="2:18" ht="27" customHeight="1">
      <c r="B29" s="210">
        <v>46066</v>
      </c>
      <c r="C29" s="203">
        <v>46067</v>
      </c>
      <c r="D29" s="204">
        <v>1</v>
      </c>
      <c r="E29" s="204">
        <f t="shared" si="3"/>
        <v>4</v>
      </c>
      <c r="F29" s="203" t="s">
        <v>158</v>
      </c>
      <c r="G29" s="203" t="s">
        <v>43</v>
      </c>
      <c r="H29" s="204">
        <v>1</v>
      </c>
      <c r="I29" s="203" t="s">
        <v>430</v>
      </c>
      <c r="J29" s="203" t="s">
        <v>431</v>
      </c>
      <c r="K29" s="204">
        <v>4</v>
      </c>
      <c r="L29" s="204">
        <v>0</v>
      </c>
      <c r="M29" s="205">
        <v>37776</v>
      </c>
      <c r="N29" s="205">
        <v>4533</v>
      </c>
      <c r="O29" s="205">
        <v>869</v>
      </c>
      <c r="P29" s="205">
        <f t="shared" si="5"/>
        <v>32374</v>
      </c>
      <c r="Q29" s="204">
        <v>0</v>
      </c>
      <c r="R29" s="211" t="s">
        <v>46</v>
      </c>
    </row>
    <row r="30" spans="2:18" ht="27" customHeight="1">
      <c r="B30" s="210">
        <v>46067</v>
      </c>
      <c r="C30" s="203">
        <v>46069</v>
      </c>
      <c r="D30" s="204">
        <v>2</v>
      </c>
      <c r="E30" s="204">
        <f t="shared" si="3"/>
        <v>8</v>
      </c>
      <c r="F30" s="203" t="s">
        <v>158</v>
      </c>
      <c r="G30" s="203" t="s">
        <v>54</v>
      </c>
      <c r="H30" s="204">
        <v>1</v>
      </c>
      <c r="I30" s="203" t="s">
        <v>433</v>
      </c>
      <c r="J30" s="203" t="s">
        <v>57</v>
      </c>
      <c r="K30" s="204">
        <v>4</v>
      </c>
      <c r="L30" s="204">
        <v>0</v>
      </c>
      <c r="M30" s="205">
        <v>71884</v>
      </c>
      <c r="N30" s="205">
        <v>8626</v>
      </c>
      <c r="O30" s="205">
        <v>1653</v>
      </c>
      <c r="P30" s="205">
        <f t="shared" si="5"/>
        <v>61605</v>
      </c>
      <c r="Q30" s="204">
        <v>0</v>
      </c>
      <c r="R30" s="211" t="s">
        <v>46</v>
      </c>
    </row>
    <row r="31" spans="2:18" ht="27" customHeight="1">
      <c r="B31" s="210">
        <v>46070</v>
      </c>
      <c r="C31" s="203">
        <v>46071</v>
      </c>
      <c r="D31" s="204">
        <v>1</v>
      </c>
      <c r="E31" s="204">
        <f t="shared" si="3"/>
        <v>2</v>
      </c>
      <c r="F31" s="203" t="s">
        <v>158</v>
      </c>
      <c r="G31" s="203" t="s">
        <v>43</v>
      </c>
      <c r="H31" s="204">
        <v>1</v>
      </c>
      <c r="I31" s="203" t="s">
        <v>434</v>
      </c>
      <c r="J31" s="203" t="s">
        <v>45</v>
      </c>
      <c r="K31" s="204">
        <v>2</v>
      </c>
      <c r="L31" s="204">
        <v>0</v>
      </c>
      <c r="M31" s="205">
        <v>23461</v>
      </c>
      <c r="N31" s="205">
        <v>2815</v>
      </c>
      <c r="O31" s="205">
        <v>540</v>
      </c>
      <c r="P31" s="205">
        <f t="shared" si="5"/>
        <v>20106</v>
      </c>
      <c r="Q31" s="204">
        <v>0</v>
      </c>
      <c r="R31" s="211" t="s">
        <v>46</v>
      </c>
    </row>
    <row r="32" spans="2:18" ht="27" customHeight="1">
      <c r="B32" s="210">
        <v>46068</v>
      </c>
      <c r="C32" s="203">
        <v>46073</v>
      </c>
      <c r="D32" s="204">
        <v>5</v>
      </c>
      <c r="E32" s="204">
        <f t="shared" si="3"/>
        <v>10</v>
      </c>
      <c r="F32" s="203" t="s">
        <v>158</v>
      </c>
      <c r="G32" s="203" t="s">
        <v>49</v>
      </c>
      <c r="H32" s="204">
        <v>1</v>
      </c>
      <c r="I32" s="203" t="s">
        <v>435</v>
      </c>
      <c r="J32" s="203" t="s">
        <v>436</v>
      </c>
      <c r="K32" s="204">
        <v>2</v>
      </c>
      <c r="L32" s="204">
        <v>0</v>
      </c>
      <c r="M32" s="227">
        <v>187140</v>
      </c>
      <c r="N32" s="227">
        <v>22457</v>
      </c>
      <c r="O32" s="227">
        <v>4304</v>
      </c>
      <c r="P32" s="227">
        <f t="shared" si="5"/>
        <v>160379</v>
      </c>
      <c r="Q32" s="204">
        <v>0</v>
      </c>
      <c r="R32" s="211" t="s">
        <v>46</v>
      </c>
    </row>
    <row r="33" spans="2:18" ht="27" customHeight="1">
      <c r="B33" s="210">
        <v>46068</v>
      </c>
      <c r="C33" s="203">
        <v>46073</v>
      </c>
      <c r="D33" s="204">
        <v>5</v>
      </c>
      <c r="E33" s="204">
        <f t="shared" si="3"/>
        <v>10</v>
      </c>
      <c r="F33" s="203" t="s">
        <v>158</v>
      </c>
      <c r="G33" s="203" t="s">
        <v>49</v>
      </c>
      <c r="H33" s="204">
        <v>1</v>
      </c>
      <c r="I33" s="203" t="s">
        <v>435</v>
      </c>
      <c r="J33" s="203" t="s">
        <v>436</v>
      </c>
      <c r="K33" s="204">
        <v>2</v>
      </c>
      <c r="L33" s="204">
        <v>0</v>
      </c>
      <c r="M33" s="229"/>
      <c r="N33" s="229"/>
      <c r="O33" s="229"/>
      <c r="P33" s="229"/>
      <c r="Q33" s="204">
        <v>0</v>
      </c>
      <c r="R33" s="211" t="s">
        <v>46</v>
      </c>
    </row>
    <row r="34" spans="2:18" ht="27" customHeight="1">
      <c r="B34" s="210">
        <v>46070</v>
      </c>
      <c r="C34" s="203">
        <v>46074</v>
      </c>
      <c r="D34" s="204">
        <v>4</v>
      </c>
      <c r="E34" s="204">
        <f t="shared" si="3"/>
        <v>12</v>
      </c>
      <c r="F34" s="203" t="s">
        <v>158</v>
      </c>
      <c r="G34" s="203" t="s">
        <v>49</v>
      </c>
      <c r="H34" s="204">
        <v>1</v>
      </c>
      <c r="I34" s="203" t="s">
        <v>437</v>
      </c>
      <c r="J34" s="203" t="s">
        <v>84</v>
      </c>
      <c r="K34" s="204">
        <v>2</v>
      </c>
      <c r="L34" s="204">
        <v>1</v>
      </c>
      <c r="M34" s="205">
        <v>108457</v>
      </c>
      <c r="N34" s="205">
        <v>13015</v>
      </c>
      <c r="O34" s="205">
        <v>2495</v>
      </c>
      <c r="P34" s="205">
        <f t="shared" ref="P34:P52" si="6">M34-N34-O34</f>
        <v>92947</v>
      </c>
      <c r="Q34" s="204">
        <v>0</v>
      </c>
      <c r="R34" s="211" t="s">
        <v>46</v>
      </c>
    </row>
    <row r="35" spans="2:18" ht="27" customHeight="1">
      <c r="B35" s="210">
        <v>46073</v>
      </c>
      <c r="C35" s="203">
        <v>46076</v>
      </c>
      <c r="D35" s="204">
        <v>3</v>
      </c>
      <c r="E35" s="204">
        <f t="shared" si="3"/>
        <v>6</v>
      </c>
      <c r="F35" s="203" t="s">
        <v>158</v>
      </c>
      <c r="G35" s="203" t="s">
        <v>54</v>
      </c>
      <c r="H35" s="204">
        <v>1</v>
      </c>
      <c r="I35" s="203" t="s">
        <v>438</v>
      </c>
      <c r="J35" s="203" t="s">
        <v>366</v>
      </c>
      <c r="K35" s="204">
        <v>2</v>
      </c>
      <c r="L35" s="204">
        <v>0</v>
      </c>
      <c r="M35" s="205">
        <v>73253</v>
      </c>
      <c r="N35" s="205">
        <v>8790</v>
      </c>
      <c r="O35" s="205">
        <v>1685</v>
      </c>
      <c r="P35" s="205">
        <f t="shared" si="6"/>
        <v>62778</v>
      </c>
      <c r="Q35" s="204">
        <v>0</v>
      </c>
      <c r="R35" s="211" t="s">
        <v>46</v>
      </c>
    </row>
    <row r="36" spans="2:18" ht="27" customHeight="1">
      <c r="B36" s="210">
        <v>46073</v>
      </c>
      <c r="C36" s="203">
        <v>46076</v>
      </c>
      <c r="D36" s="204">
        <v>3</v>
      </c>
      <c r="E36" s="204">
        <f t="shared" si="3"/>
        <v>6</v>
      </c>
      <c r="F36" s="203" t="s">
        <v>158</v>
      </c>
      <c r="G36" s="203" t="s">
        <v>49</v>
      </c>
      <c r="H36" s="204">
        <v>1</v>
      </c>
      <c r="I36" s="203" t="s">
        <v>439</v>
      </c>
      <c r="J36" s="203" t="s">
        <v>57</v>
      </c>
      <c r="K36" s="204">
        <v>2</v>
      </c>
      <c r="L36" s="204">
        <v>0</v>
      </c>
      <c r="M36" s="205">
        <v>78280</v>
      </c>
      <c r="N36" s="205">
        <v>9394</v>
      </c>
      <c r="O36" s="205">
        <v>1800</v>
      </c>
      <c r="P36" s="205">
        <f t="shared" si="6"/>
        <v>67086</v>
      </c>
      <c r="Q36" s="204">
        <v>0</v>
      </c>
      <c r="R36" s="211" t="s">
        <v>46</v>
      </c>
    </row>
    <row r="37" spans="2:18" ht="27" customHeight="1">
      <c r="B37" s="210">
        <v>46073</v>
      </c>
      <c r="C37" s="203">
        <v>46077</v>
      </c>
      <c r="D37" s="204">
        <v>4</v>
      </c>
      <c r="E37" s="204">
        <f t="shared" si="3"/>
        <v>8</v>
      </c>
      <c r="F37" s="203" t="s">
        <v>158</v>
      </c>
      <c r="G37" s="203" t="s">
        <v>49</v>
      </c>
      <c r="H37" s="204">
        <v>1</v>
      </c>
      <c r="I37" s="203" t="s">
        <v>440</v>
      </c>
      <c r="J37" s="203" t="s">
        <v>45</v>
      </c>
      <c r="K37" s="204">
        <v>2</v>
      </c>
      <c r="L37" s="204">
        <v>0</v>
      </c>
      <c r="M37" s="205">
        <v>78558</v>
      </c>
      <c r="N37" s="205">
        <v>9427</v>
      </c>
      <c r="O37" s="205">
        <v>1807</v>
      </c>
      <c r="P37" s="205">
        <f t="shared" si="6"/>
        <v>67324</v>
      </c>
      <c r="Q37" s="204">
        <v>0</v>
      </c>
      <c r="R37" s="211" t="s">
        <v>46</v>
      </c>
    </row>
    <row r="38" spans="2:18" ht="27" customHeight="1">
      <c r="B38" s="210">
        <v>46074</v>
      </c>
      <c r="C38" s="203">
        <v>46077</v>
      </c>
      <c r="D38" s="204">
        <v>3</v>
      </c>
      <c r="E38" s="204">
        <f t="shared" si="3"/>
        <v>6</v>
      </c>
      <c r="F38" s="203" t="s">
        <v>158</v>
      </c>
      <c r="G38" s="203" t="s">
        <v>49</v>
      </c>
      <c r="H38" s="204">
        <v>1</v>
      </c>
      <c r="I38" s="203" t="s">
        <v>441</v>
      </c>
      <c r="J38" s="203" t="s">
        <v>57</v>
      </c>
      <c r="K38" s="204">
        <v>2</v>
      </c>
      <c r="L38" s="204">
        <v>0</v>
      </c>
      <c r="M38" s="205">
        <v>59793</v>
      </c>
      <c r="N38" s="205">
        <v>7175</v>
      </c>
      <c r="O38" s="205">
        <v>1375</v>
      </c>
      <c r="P38" s="205">
        <f t="shared" si="6"/>
        <v>51243</v>
      </c>
      <c r="Q38" s="204">
        <v>0</v>
      </c>
      <c r="R38" s="211" t="s">
        <v>46</v>
      </c>
    </row>
    <row r="39" spans="2:18" ht="27" customHeight="1">
      <c r="B39" s="210">
        <v>46077</v>
      </c>
      <c r="C39" s="203">
        <v>46078</v>
      </c>
      <c r="D39" s="204">
        <v>1</v>
      </c>
      <c r="E39" s="204">
        <f t="shared" si="3"/>
        <v>3</v>
      </c>
      <c r="F39" s="203" t="s">
        <v>158</v>
      </c>
      <c r="G39" s="203" t="s">
        <v>43</v>
      </c>
      <c r="H39" s="204">
        <v>1</v>
      </c>
      <c r="I39" s="203" t="s">
        <v>442</v>
      </c>
      <c r="J39" s="203" t="s">
        <v>45</v>
      </c>
      <c r="K39" s="204">
        <v>2</v>
      </c>
      <c r="L39" s="204">
        <v>1</v>
      </c>
      <c r="M39" s="205">
        <v>26952</v>
      </c>
      <c r="N39" s="205">
        <v>3234</v>
      </c>
      <c r="O39" s="205">
        <v>620</v>
      </c>
      <c r="P39" s="205">
        <f t="shared" si="6"/>
        <v>23098</v>
      </c>
      <c r="Q39" s="204">
        <v>0</v>
      </c>
      <c r="R39" s="211" t="s">
        <v>46</v>
      </c>
    </row>
    <row r="40" spans="2:18" ht="27" customHeight="1">
      <c r="B40" s="210">
        <v>46075</v>
      </c>
      <c r="C40" s="203">
        <v>46080</v>
      </c>
      <c r="D40" s="204">
        <v>5</v>
      </c>
      <c r="E40" s="204">
        <f t="shared" si="3"/>
        <v>20</v>
      </c>
      <c r="F40" s="203" t="s">
        <v>158</v>
      </c>
      <c r="G40" s="203" t="s">
        <v>56</v>
      </c>
      <c r="H40" s="204">
        <v>1</v>
      </c>
      <c r="I40" s="203" t="s">
        <v>443</v>
      </c>
      <c r="J40" s="203" t="s">
        <v>351</v>
      </c>
      <c r="K40" s="204">
        <v>4</v>
      </c>
      <c r="L40" s="204">
        <v>0</v>
      </c>
      <c r="M40" s="205">
        <v>152250</v>
      </c>
      <c r="N40" s="205">
        <v>18270</v>
      </c>
      <c r="O40" s="205">
        <v>3502</v>
      </c>
      <c r="P40" s="205">
        <f t="shared" si="6"/>
        <v>130478</v>
      </c>
      <c r="Q40" s="204">
        <v>0</v>
      </c>
      <c r="R40" s="211" t="s">
        <v>46</v>
      </c>
    </row>
    <row r="41" spans="2:18" ht="27" customHeight="1">
      <c r="B41" s="210">
        <v>46078</v>
      </c>
      <c r="C41" s="203">
        <v>46081</v>
      </c>
      <c r="D41" s="204">
        <v>3</v>
      </c>
      <c r="E41" s="204">
        <f t="shared" si="3"/>
        <v>6</v>
      </c>
      <c r="F41" s="203" t="s">
        <v>158</v>
      </c>
      <c r="G41" s="203" t="s">
        <v>49</v>
      </c>
      <c r="H41" s="204">
        <v>1</v>
      </c>
      <c r="I41" s="203" t="s">
        <v>444</v>
      </c>
      <c r="J41" s="203" t="s">
        <v>57</v>
      </c>
      <c r="K41" s="204">
        <v>2</v>
      </c>
      <c r="L41" s="204">
        <v>0</v>
      </c>
      <c r="M41" s="205">
        <v>57291</v>
      </c>
      <c r="N41" s="205">
        <v>6875</v>
      </c>
      <c r="O41" s="205">
        <v>1318</v>
      </c>
      <c r="P41" s="205">
        <f t="shared" si="6"/>
        <v>49098</v>
      </c>
      <c r="Q41" s="204">
        <v>0</v>
      </c>
      <c r="R41" s="211" t="s">
        <v>46</v>
      </c>
    </row>
    <row r="42" spans="2:18" ht="27" customHeight="1">
      <c r="B42" s="210">
        <v>46053</v>
      </c>
      <c r="C42" s="203">
        <v>46054</v>
      </c>
      <c r="D42" s="204">
        <v>1</v>
      </c>
      <c r="E42" s="204">
        <f t="shared" si="3"/>
        <v>3</v>
      </c>
      <c r="F42" s="203" t="s">
        <v>132</v>
      </c>
      <c r="G42" s="203" t="s">
        <v>71</v>
      </c>
      <c r="H42" s="204">
        <v>1</v>
      </c>
      <c r="I42" s="203" t="s">
        <v>445</v>
      </c>
      <c r="J42" s="203" t="s">
        <v>84</v>
      </c>
      <c r="K42" s="204">
        <v>3</v>
      </c>
      <c r="L42" s="204">
        <v>0</v>
      </c>
      <c r="M42" s="205">
        <v>22712</v>
      </c>
      <c r="N42" s="205">
        <v>2901</v>
      </c>
      <c r="O42" s="205">
        <v>0</v>
      </c>
      <c r="P42" s="205">
        <f t="shared" si="6"/>
        <v>19811</v>
      </c>
      <c r="Q42" s="204">
        <v>0</v>
      </c>
      <c r="R42" s="211" t="s">
        <v>46</v>
      </c>
    </row>
    <row r="43" spans="2:18" ht="27" customHeight="1">
      <c r="B43" s="210">
        <v>46059</v>
      </c>
      <c r="C43" s="203">
        <v>46063</v>
      </c>
      <c r="D43" s="204">
        <v>4</v>
      </c>
      <c r="E43" s="204">
        <f t="shared" si="3"/>
        <v>8</v>
      </c>
      <c r="F43" s="203" t="s">
        <v>132</v>
      </c>
      <c r="G43" s="203" t="s">
        <v>49</v>
      </c>
      <c r="H43" s="204">
        <v>1</v>
      </c>
      <c r="I43" s="203" t="s">
        <v>446</v>
      </c>
      <c r="J43" s="203" t="s">
        <v>57</v>
      </c>
      <c r="K43" s="204">
        <v>2</v>
      </c>
      <c r="L43" s="204">
        <v>0</v>
      </c>
      <c r="M43" s="205">
        <v>76655</v>
      </c>
      <c r="N43" s="205">
        <v>12611</v>
      </c>
      <c r="O43" s="205">
        <v>0</v>
      </c>
      <c r="P43" s="205">
        <f t="shared" si="6"/>
        <v>64044</v>
      </c>
      <c r="Q43" s="204">
        <v>0</v>
      </c>
      <c r="R43" s="211" t="s">
        <v>46</v>
      </c>
    </row>
    <row r="44" spans="2:18" ht="27" customHeight="1">
      <c r="B44" s="210">
        <v>46060</v>
      </c>
      <c r="C44" s="203">
        <v>46061</v>
      </c>
      <c r="D44" s="204">
        <v>1</v>
      </c>
      <c r="E44" s="204">
        <f t="shared" si="3"/>
        <v>2</v>
      </c>
      <c r="F44" s="203" t="s">
        <v>132</v>
      </c>
      <c r="G44" s="203" t="s">
        <v>49</v>
      </c>
      <c r="H44" s="204">
        <v>1</v>
      </c>
      <c r="I44" s="203" t="s">
        <v>447</v>
      </c>
      <c r="J44" s="203" t="s">
        <v>51</v>
      </c>
      <c r="K44" s="204">
        <v>2</v>
      </c>
      <c r="L44" s="204">
        <v>0</v>
      </c>
      <c r="M44" s="205">
        <v>24113</v>
      </c>
      <c r="N44" s="205">
        <v>3152</v>
      </c>
      <c r="O44" s="205">
        <v>0</v>
      </c>
      <c r="P44" s="205">
        <f t="shared" si="6"/>
        <v>20961</v>
      </c>
      <c r="Q44" s="204">
        <v>0</v>
      </c>
      <c r="R44" s="211" t="s">
        <v>46</v>
      </c>
    </row>
    <row r="45" spans="2:18" ht="27" customHeight="1">
      <c r="B45" s="210">
        <v>46066</v>
      </c>
      <c r="C45" s="203">
        <v>46069</v>
      </c>
      <c r="D45" s="204">
        <v>3</v>
      </c>
      <c r="E45" s="204">
        <f t="shared" si="3"/>
        <v>9</v>
      </c>
      <c r="F45" s="203" t="s">
        <v>132</v>
      </c>
      <c r="G45" s="203" t="s">
        <v>71</v>
      </c>
      <c r="H45" s="204">
        <v>1</v>
      </c>
      <c r="I45" s="203" t="s">
        <v>448</v>
      </c>
      <c r="J45" s="203" t="s">
        <v>57</v>
      </c>
      <c r="K45" s="204">
        <v>3</v>
      </c>
      <c r="L45" s="204">
        <v>0</v>
      </c>
      <c r="M45" s="205">
        <v>90371</v>
      </c>
      <c r="N45" s="205">
        <v>15078</v>
      </c>
      <c r="O45" s="205">
        <v>0</v>
      </c>
      <c r="P45" s="205">
        <f t="shared" si="6"/>
        <v>75293</v>
      </c>
      <c r="Q45" s="204">
        <v>0</v>
      </c>
      <c r="R45" s="211" t="s">
        <v>46</v>
      </c>
    </row>
    <row r="46" spans="2:18" ht="27" customHeight="1">
      <c r="B46" s="210">
        <v>46066</v>
      </c>
      <c r="C46" s="203">
        <v>46069</v>
      </c>
      <c r="D46" s="204">
        <v>3</v>
      </c>
      <c r="E46" s="204">
        <f t="shared" si="3"/>
        <v>6</v>
      </c>
      <c r="F46" s="203" t="s">
        <v>132</v>
      </c>
      <c r="G46" s="203" t="s">
        <v>49</v>
      </c>
      <c r="H46" s="204">
        <v>1</v>
      </c>
      <c r="I46" s="203" t="s">
        <v>449</v>
      </c>
      <c r="J46" s="203" t="s">
        <v>57</v>
      </c>
      <c r="K46" s="204">
        <v>2</v>
      </c>
      <c r="L46" s="204">
        <v>0</v>
      </c>
      <c r="M46" s="205">
        <v>61643</v>
      </c>
      <c r="N46" s="205">
        <v>9908</v>
      </c>
      <c r="O46" s="205">
        <v>0</v>
      </c>
      <c r="P46" s="205">
        <f t="shared" si="6"/>
        <v>51735</v>
      </c>
      <c r="Q46" s="204">
        <v>0</v>
      </c>
      <c r="R46" s="211" t="s">
        <v>46</v>
      </c>
    </row>
    <row r="47" spans="2:18" ht="27" customHeight="1">
      <c r="B47" s="210">
        <v>46067</v>
      </c>
      <c r="C47" s="203">
        <v>46070</v>
      </c>
      <c r="D47" s="204">
        <v>3</v>
      </c>
      <c r="E47" s="204">
        <f t="shared" si="3"/>
        <v>6</v>
      </c>
      <c r="F47" s="203" t="s">
        <v>132</v>
      </c>
      <c r="G47" s="203" t="s">
        <v>43</v>
      </c>
      <c r="H47" s="204">
        <v>1</v>
      </c>
      <c r="I47" s="203" t="s">
        <v>450</v>
      </c>
      <c r="J47" s="203" t="s">
        <v>451</v>
      </c>
      <c r="K47" s="204">
        <v>2</v>
      </c>
      <c r="L47" s="204">
        <v>0</v>
      </c>
      <c r="M47" s="205">
        <v>111363</v>
      </c>
      <c r="N47" s="205">
        <v>18855</v>
      </c>
      <c r="O47" s="205">
        <v>0</v>
      </c>
      <c r="P47" s="205">
        <f t="shared" si="6"/>
        <v>92508</v>
      </c>
      <c r="Q47" s="204">
        <v>0</v>
      </c>
      <c r="R47" s="211" t="s">
        <v>46</v>
      </c>
    </row>
    <row r="48" spans="2:18" ht="27" customHeight="1">
      <c r="B48" s="210">
        <v>46069</v>
      </c>
      <c r="C48" s="203">
        <v>46073</v>
      </c>
      <c r="D48" s="204">
        <v>4</v>
      </c>
      <c r="E48" s="204">
        <f t="shared" si="3"/>
        <v>8</v>
      </c>
      <c r="F48" s="203" t="s">
        <v>132</v>
      </c>
      <c r="G48" s="203" t="s">
        <v>54</v>
      </c>
      <c r="H48" s="204">
        <v>1</v>
      </c>
      <c r="I48" s="203" t="s">
        <v>452</v>
      </c>
      <c r="J48" s="203" t="s">
        <v>84</v>
      </c>
      <c r="K48" s="204">
        <v>2</v>
      </c>
      <c r="L48" s="204">
        <v>0</v>
      </c>
      <c r="M48" s="205">
        <v>72480</v>
      </c>
      <c r="N48" s="205">
        <v>11859</v>
      </c>
      <c r="O48" s="205">
        <v>0</v>
      </c>
      <c r="P48" s="205">
        <f t="shared" si="6"/>
        <v>60621</v>
      </c>
      <c r="Q48" s="204">
        <v>0</v>
      </c>
      <c r="R48" s="211" t="s">
        <v>46</v>
      </c>
    </row>
    <row r="49" spans="2:18" ht="27" customHeight="1">
      <c r="B49" s="210">
        <v>46072</v>
      </c>
      <c r="C49" s="203">
        <v>46077</v>
      </c>
      <c r="D49" s="204">
        <v>5</v>
      </c>
      <c r="E49" s="204">
        <f t="shared" si="3"/>
        <v>20</v>
      </c>
      <c r="F49" s="203" t="s">
        <v>132</v>
      </c>
      <c r="G49" s="203" t="s">
        <v>43</v>
      </c>
      <c r="H49" s="204">
        <v>1</v>
      </c>
      <c r="I49" s="203" t="s">
        <v>453</v>
      </c>
      <c r="J49" s="203" t="s">
        <v>57</v>
      </c>
      <c r="K49" s="204">
        <v>4</v>
      </c>
      <c r="L49" s="204">
        <v>0</v>
      </c>
      <c r="M49" s="205">
        <v>163213</v>
      </c>
      <c r="N49" s="205">
        <v>28192</v>
      </c>
      <c r="O49" s="205">
        <v>0</v>
      </c>
      <c r="P49" s="205">
        <f t="shared" si="6"/>
        <v>135021</v>
      </c>
      <c r="Q49" s="204">
        <v>0</v>
      </c>
      <c r="R49" s="211" t="s">
        <v>46</v>
      </c>
    </row>
    <row r="50" spans="2:18" ht="27" customHeight="1">
      <c r="B50" s="210">
        <v>46073</v>
      </c>
      <c r="C50" s="203">
        <v>46075</v>
      </c>
      <c r="D50" s="204">
        <v>2</v>
      </c>
      <c r="E50" s="204">
        <f t="shared" si="3"/>
        <v>8</v>
      </c>
      <c r="F50" s="203" t="s">
        <v>132</v>
      </c>
      <c r="G50" s="203" t="s">
        <v>71</v>
      </c>
      <c r="H50" s="204">
        <v>1</v>
      </c>
      <c r="I50" s="203" t="s">
        <v>454</v>
      </c>
      <c r="J50" s="203" t="s">
        <v>57</v>
      </c>
      <c r="K50" s="204">
        <v>4</v>
      </c>
      <c r="L50" s="204">
        <v>0</v>
      </c>
      <c r="M50" s="205">
        <v>76194</v>
      </c>
      <c r="N50" s="205">
        <v>12526</v>
      </c>
      <c r="O50" s="205">
        <v>0</v>
      </c>
      <c r="P50" s="205">
        <f t="shared" si="6"/>
        <v>63668</v>
      </c>
      <c r="Q50" s="204">
        <v>0</v>
      </c>
      <c r="R50" s="211" t="s">
        <v>46</v>
      </c>
    </row>
    <row r="51" spans="2:18" ht="27" customHeight="1">
      <c r="B51" s="210">
        <v>46075</v>
      </c>
      <c r="C51" s="203">
        <v>46078</v>
      </c>
      <c r="D51" s="204">
        <v>3</v>
      </c>
      <c r="E51" s="204">
        <f t="shared" si="3"/>
        <v>9</v>
      </c>
      <c r="F51" s="203" t="s">
        <v>132</v>
      </c>
      <c r="G51" s="203" t="s">
        <v>71</v>
      </c>
      <c r="H51" s="204">
        <v>1</v>
      </c>
      <c r="I51" s="203" t="s">
        <v>455</v>
      </c>
      <c r="J51" s="203" t="s">
        <v>57</v>
      </c>
      <c r="K51" s="204">
        <v>3</v>
      </c>
      <c r="L51" s="204">
        <v>0</v>
      </c>
      <c r="M51" s="205">
        <v>67814</v>
      </c>
      <c r="N51" s="205">
        <v>11017</v>
      </c>
      <c r="O51" s="205">
        <v>0</v>
      </c>
      <c r="P51" s="205">
        <f t="shared" si="6"/>
        <v>56797</v>
      </c>
      <c r="Q51" s="204">
        <v>0</v>
      </c>
      <c r="R51" s="211" t="s">
        <v>46</v>
      </c>
    </row>
    <row r="52" spans="2:18" ht="27" customHeight="1">
      <c r="B52" s="210">
        <v>46076</v>
      </c>
      <c r="C52" s="203">
        <v>46079</v>
      </c>
      <c r="D52" s="204">
        <v>3</v>
      </c>
      <c r="E52" s="204">
        <f t="shared" si="3"/>
        <v>9</v>
      </c>
      <c r="F52" s="203" t="s">
        <v>132</v>
      </c>
      <c r="G52" s="203" t="s">
        <v>49</v>
      </c>
      <c r="H52" s="204">
        <v>1</v>
      </c>
      <c r="I52" s="203" t="s">
        <v>456</v>
      </c>
      <c r="J52" s="203" t="s">
        <v>57</v>
      </c>
      <c r="K52" s="204">
        <v>3</v>
      </c>
      <c r="L52" s="204">
        <v>0</v>
      </c>
      <c r="M52" s="205">
        <v>69141</v>
      </c>
      <c r="N52" s="205">
        <v>11256</v>
      </c>
      <c r="O52" s="205">
        <v>0</v>
      </c>
      <c r="P52" s="205">
        <f t="shared" si="6"/>
        <v>57885</v>
      </c>
      <c r="Q52" s="204">
        <v>0</v>
      </c>
      <c r="R52" s="211" t="s">
        <v>46</v>
      </c>
    </row>
    <row r="53" spans="2:18" ht="27" customHeight="1">
      <c r="B53" s="210">
        <v>46060</v>
      </c>
      <c r="C53" s="203">
        <v>46061</v>
      </c>
      <c r="D53" s="204">
        <v>1</v>
      </c>
      <c r="E53" s="204">
        <f t="shared" si="3"/>
        <v>3</v>
      </c>
      <c r="F53" s="203" t="s">
        <v>390</v>
      </c>
      <c r="G53" s="203" t="s">
        <v>71</v>
      </c>
      <c r="H53" s="204">
        <v>1</v>
      </c>
      <c r="I53" s="203" t="s">
        <v>457</v>
      </c>
      <c r="J53" s="203" t="s">
        <v>67</v>
      </c>
      <c r="K53" s="204">
        <v>3</v>
      </c>
      <c r="L53" s="204">
        <v>0</v>
      </c>
      <c r="M53" s="205">
        <v>27753</v>
      </c>
      <c r="N53" s="227">
        <f>12532</f>
        <v>12532</v>
      </c>
      <c r="O53" s="227">
        <v>4385</v>
      </c>
      <c r="P53" s="227">
        <f>SUM(M53:M56)-N53-O53-Q53</f>
        <v>92776</v>
      </c>
      <c r="Q53" s="233">
        <v>4240</v>
      </c>
      <c r="R53" s="211" t="s">
        <v>46</v>
      </c>
    </row>
    <row r="54" spans="2:18" ht="27" customHeight="1">
      <c r="B54" s="210">
        <v>46064</v>
      </c>
      <c r="C54" s="203">
        <v>46067</v>
      </c>
      <c r="D54" s="204">
        <v>3</v>
      </c>
      <c r="E54" s="204">
        <f t="shared" si="3"/>
        <v>6</v>
      </c>
      <c r="F54" s="203" t="s">
        <v>390</v>
      </c>
      <c r="G54" s="203" t="s">
        <v>49</v>
      </c>
      <c r="H54" s="204">
        <v>1</v>
      </c>
      <c r="I54" s="203" t="s">
        <v>458</v>
      </c>
      <c r="J54" s="203" t="s">
        <v>57</v>
      </c>
      <c r="K54" s="204">
        <v>2</v>
      </c>
      <c r="L54" s="204">
        <v>0</v>
      </c>
      <c r="M54" s="205">
        <v>52820</v>
      </c>
      <c r="N54" s="228"/>
      <c r="O54" s="228"/>
      <c r="P54" s="228"/>
      <c r="Q54" s="234"/>
      <c r="R54" s="211" t="s">
        <v>46</v>
      </c>
    </row>
    <row r="55" spans="2:18" ht="27" customHeight="1">
      <c r="B55" s="210">
        <v>46067</v>
      </c>
      <c r="C55" s="203">
        <v>46068</v>
      </c>
      <c r="D55" s="204">
        <v>1</v>
      </c>
      <c r="E55" s="204">
        <f t="shared" si="3"/>
        <v>2</v>
      </c>
      <c r="F55" s="203" t="s">
        <v>390</v>
      </c>
      <c r="G55" s="203" t="s">
        <v>49</v>
      </c>
      <c r="H55" s="204">
        <v>1</v>
      </c>
      <c r="I55" s="203" t="s">
        <v>459</v>
      </c>
      <c r="J55" s="203" t="s">
        <v>67</v>
      </c>
      <c r="K55" s="204">
        <v>2</v>
      </c>
      <c r="L55" s="204">
        <v>0</v>
      </c>
      <c r="M55" s="205">
        <v>16680</v>
      </c>
      <c r="N55" s="228"/>
      <c r="O55" s="228"/>
      <c r="P55" s="228"/>
      <c r="Q55" s="234"/>
      <c r="R55" s="211" t="s">
        <v>46</v>
      </c>
    </row>
    <row r="56" spans="2:18" ht="27" customHeight="1">
      <c r="B56" s="210">
        <v>46067</v>
      </c>
      <c r="C56" s="203">
        <v>46068</v>
      </c>
      <c r="D56" s="204">
        <v>1</v>
      </c>
      <c r="E56" s="204">
        <f t="shared" si="3"/>
        <v>2</v>
      </c>
      <c r="F56" s="203" t="s">
        <v>390</v>
      </c>
      <c r="G56" s="203" t="s">
        <v>49</v>
      </c>
      <c r="H56" s="204">
        <v>1</v>
      </c>
      <c r="I56" s="203" t="s">
        <v>460</v>
      </c>
      <c r="J56" s="203" t="s">
        <v>67</v>
      </c>
      <c r="K56" s="204">
        <v>2</v>
      </c>
      <c r="L56" s="204">
        <v>0</v>
      </c>
      <c r="M56" s="205">
        <v>16680</v>
      </c>
      <c r="N56" s="229"/>
      <c r="O56" s="229"/>
      <c r="P56" s="229"/>
      <c r="Q56" s="235"/>
      <c r="R56" s="211" t="s">
        <v>46</v>
      </c>
    </row>
    <row r="57" spans="2:18" ht="27" customHeight="1">
      <c r="B57" s="210">
        <v>46054</v>
      </c>
      <c r="C57" s="203">
        <v>46057</v>
      </c>
      <c r="D57" s="204">
        <v>3</v>
      </c>
      <c r="E57" s="204">
        <f t="shared" si="3"/>
        <v>9</v>
      </c>
      <c r="F57" s="205" t="s">
        <v>523</v>
      </c>
      <c r="G57" s="205" t="s">
        <v>71</v>
      </c>
      <c r="H57" s="204">
        <v>1</v>
      </c>
      <c r="I57" s="205" t="s">
        <v>524</v>
      </c>
      <c r="J57" s="205" t="s">
        <v>84</v>
      </c>
      <c r="K57" s="204">
        <v>2</v>
      </c>
      <c r="L57" s="204">
        <v>1</v>
      </c>
      <c r="M57" s="227">
        <v>183546</v>
      </c>
      <c r="N57" s="227">
        <v>0</v>
      </c>
      <c r="O57" s="227">
        <v>0</v>
      </c>
      <c r="P57" s="227">
        <v>183546</v>
      </c>
      <c r="Q57" s="230">
        <v>0</v>
      </c>
      <c r="R57" s="469" t="s">
        <v>461</v>
      </c>
    </row>
    <row r="58" spans="2:18" ht="27" customHeight="1">
      <c r="B58" s="210">
        <v>46057</v>
      </c>
      <c r="C58" s="203">
        <v>46058</v>
      </c>
      <c r="D58" s="204">
        <v>1</v>
      </c>
      <c r="E58" s="204">
        <f t="shared" si="3"/>
        <v>1</v>
      </c>
      <c r="F58" s="205" t="s">
        <v>523</v>
      </c>
      <c r="G58" s="205" t="s">
        <v>71</v>
      </c>
      <c r="H58" s="204">
        <v>1</v>
      </c>
      <c r="I58" s="205" t="s">
        <v>524</v>
      </c>
      <c r="J58" s="205" t="s">
        <v>84</v>
      </c>
      <c r="K58" s="204">
        <v>1</v>
      </c>
      <c r="L58" s="204">
        <v>0</v>
      </c>
      <c r="M58" s="228"/>
      <c r="N58" s="228"/>
      <c r="O58" s="228"/>
      <c r="P58" s="228"/>
      <c r="Q58" s="231"/>
      <c r="R58" s="470"/>
    </row>
    <row r="59" spans="2:18" ht="27" customHeight="1">
      <c r="B59" s="210">
        <v>46063</v>
      </c>
      <c r="C59" s="203">
        <v>46065</v>
      </c>
      <c r="D59" s="204">
        <v>2</v>
      </c>
      <c r="E59" s="204">
        <f t="shared" si="3"/>
        <v>6</v>
      </c>
      <c r="F59" s="205" t="s">
        <v>523</v>
      </c>
      <c r="G59" s="205" t="s">
        <v>71</v>
      </c>
      <c r="H59" s="204">
        <v>1</v>
      </c>
      <c r="I59" s="205" t="s">
        <v>524</v>
      </c>
      <c r="J59" s="205" t="s">
        <v>84</v>
      </c>
      <c r="K59" s="204">
        <v>2</v>
      </c>
      <c r="L59" s="204">
        <v>1</v>
      </c>
      <c r="M59" s="229"/>
      <c r="N59" s="229"/>
      <c r="O59" s="229"/>
      <c r="P59" s="229"/>
      <c r="Q59" s="232"/>
      <c r="R59" s="471"/>
    </row>
    <row r="60" spans="2:18" ht="27" customHeight="1" thickBot="1">
      <c r="B60" s="212">
        <v>46061</v>
      </c>
      <c r="C60" s="213">
        <v>46064</v>
      </c>
      <c r="D60" s="214">
        <v>3</v>
      </c>
      <c r="E60" s="214">
        <f t="shared" si="3"/>
        <v>9</v>
      </c>
      <c r="F60" s="215" t="s">
        <v>523</v>
      </c>
      <c r="G60" s="215" t="s">
        <v>71</v>
      </c>
      <c r="H60" s="214">
        <v>1</v>
      </c>
      <c r="I60" s="215" t="s">
        <v>525</v>
      </c>
      <c r="J60" s="215" t="s">
        <v>84</v>
      </c>
      <c r="K60" s="214">
        <v>2</v>
      </c>
      <c r="L60" s="214">
        <v>1</v>
      </c>
      <c r="M60" s="215">
        <v>57942</v>
      </c>
      <c r="N60" s="215">
        <v>0</v>
      </c>
      <c r="O60" s="215">
        <v>0</v>
      </c>
      <c r="P60" s="215">
        <v>57942</v>
      </c>
      <c r="Q60" s="215">
        <v>0</v>
      </c>
      <c r="R60" s="216" t="s">
        <v>462</v>
      </c>
    </row>
    <row r="61" spans="2:18" ht="27" customHeight="1">
      <c r="B61" s="206"/>
      <c r="C61" s="206"/>
      <c r="D61" s="207"/>
      <c r="E61" s="207"/>
      <c r="F61" s="208"/>
      <c r="G61" s="208"/>
      <c r="H61" s="207"/>
      <c r="I61" s="208"/>
      <c r="J61" s="208"/>
      <c r="K61" s="207"/>
      <c r="L61" s="207"/>
      <c r="M61" s="209"/>
      <c r="N61" s="209"/>
      <c r="O61" s="209"/>
      <c r="P61" s="209"/>
      <c r="R61" s="207"/>
    </row>
    <row r="62" spans="2:18" ht="27" customHeight="1">
      <c r="B62" s="206"/>
      <c r="C62" s="206"/>
      <c r="D62" s="207"/>
      <c r="E62" s="207"/>
      <c r="F62" s="208"/>
      <c r="G62" s="208"/>
      <c r="H62" s="207"/>
      <c r="I62" s="208"/>
      <c r="J62" s="208"/>
      <c r="K62" s="207"/>
      <c r="L62" s="207"/>
      <c r="M62" s="209"/>
      <c r="N62" s="209"/>
      <c r="O62" s="209"/>
      <c r="P62" s="209"/>
      <c r="R62" s="207"/>
    </row>
    <row r="63" spans="2:18" ht="27" customHeight="1">
      <c r="B63" s="206"/>
      <c r="C63" s="206"/>
      <c r="D63" s="207"/>
      <c r="E63" s="207"/>
      <c r="F63" s="208"/>
      <c r="G63" s="208"/>
      <c r="H63" s="207"/>
      <c r="I63" s="208"/>
      <c r="J63" s="208"/>
      <c r="K63" s="207"/>
      <c r="L63" s="207"/>
      <c r="M63" s="209"/>
      <c r="N63" s="209"/>
      <c r="O63" s="209"/>
      <c r="P63" s="209"/>
      <c r="R63" s="207"/>
    </row>
    <row r="64" spans="2:18" ht="27" customHeight="1">
      <c r="B64" s="206"/>
      <c r="C64" s="206"/>
      <c r="D64" s="207"/>
      <c r="E64" s="207"/>
      <c r="F64" s="208"/>
      <c r="G64" s="208"/>
      <c r="H64" s="207"/>
      <c r="I64" s="208"/>
      <c r="J64" s="208"/>
      <c r="K64" s="207"/>
      <c r="L64" s="207"/>
      <c r="M64" s="209"/>
      <c r="N64" s="472"/>
      <c r="O64" s="472"/>
      <c r="P64" s="472"/>
      <c r="Q64" s="207"/>
      <c r="R64" s="207"/>
    </row>
    <row r="65" spans="2:18" ht="27" customHeight="1">
      <c r="B65" s="206"/>
      <c r="C65" s="206"/>
      <c r="D65" s="207"/>
      <c r="E65" s="207"/>
      <c r="F65" s="208"/>
      <c r="G65" s="208"/>
      <c r="H65" s="207"/>
      <c r="I65" s="208"/>
      <c r="J65" s="208"/>
      <c r="K65" s="207"/>
      <c r="L65" s="207"/>
      <c r="M65" s="209"/>
      <c r="N65" s="472"/>
      <c r="O65" s="472"/>
      <c r="P65" s="472"/>
      <c r="Q65" s="207"/>
      <c r="R65" s="207"/>
    </row>
    <row r="66" spans="2:18" ht="27" customHeight="1">
      <c r="M66" s="236"/>
      <c r="N66" s="236"/>
      <c r="O66" s="236"/>
    </row>
    <row r="67" spans="2:18" ht="27" customHeight="1">
      <c r="N67" s="236"/>
      <c r="O67" s="236"/>
    </row>
    <row r="68" spans="2:18" ht="27" customHeight="1">
      <c r="N68" s="236"/>
      <c r="O68" s="236"/>
    </row>
    <row r="69" spans="2:18" ht="27" customHeight="1">
      <c r="N69" s="236"/>
      <c r="O69" s="236"/>
    </row>
    <row r="70" spans="2:18" ht="27" customHeight="1">
      <c r="N70" s="236"/>
      <c r="O70" s="236"/>
    </row>
    <row r="71" spans="2:18" ht="27" customHeight="1">
      <c r="N71" s="236"/>
      <c r="O71" s="236"/>
    </row>
    <row r="72" spans="2:18" ht="27" customHeight="1">
      <c r="N72" s="236"/>
      <c r="O72" s="236"/>
    </row>
    <row r="73" spans="2:18" ht="27" customHeight="1">
      <c r="N73" s="236"/>
      <c r="O73" s="236"/>
    </row>
    <row r="74" spans="2:18" ht="27" customHeight="1">
      <c r="N74" s="236"/>
      <c r="O74" s="236"/>
    </row>
    <row r="75" spans="2:18" ht="27" customHeight="1">
      <c r="N75" s="236"/>
      <c r="O75" s="236"/>
    </row>
    <row r="76" spans="2:18" ht="27" customHeight="1">
      <c r="N76" s="236"/>
      <c r="O76" s="236"/>
    </row>
    <row r="77" spans="2:18" ht="27" customHeight="1">
      <c r="N77" s="236"/>
      <c r="O77" s="236"/>
    </row>
    <row r="78" spans="2:18" ht="27" customHeight="1">
      <c r="N78" s="236"/>
      <c r="O78" s="236"/>
    </row>
    <row r="79" spans="2:18" ht="27" customHeight="1">
      <c r="N79" s="236"/>
      <c r="O79" s="236"/>
    </row>
    <row r="80" spans="2:18" ht="27" customHeight="1">
      <c r="N80" s="236"/>
      <c r="O80" s="236"/>
    </row>
    <row r="81" spans="14:15" ht="27" customHeight="1">
      <c r="N81" s="236"/>
      <c r="O81" s="236"/>
    </row>
    <row r="82" spans="14:15" ht="27" customHeight="1">
      <c r="N82" s="236"/>
      <c r="O82" s="236"/>
    </row>
    <row r="83" spans="14:15" ht="27" customHeight="1">
      <c r="N83" s="236"/>
      <c r="O83" s="236"/>
    </row>
    <row r="84" spans="14:15" ht="27" customHeight="1">
      <c r="N84" s="236"/>
    </row>
    <row r="85" spans="14:15" ht="27" customHeight="1">
      <c r="N85" s="236"/>
    </row>
    <row r="86" spans="14:15" ht="27" customHeight="1">
      <c r="N86" s="236"/>
    </row>
    <row r="87" spans="14:15" ht="27" customHeight="1">
      <c r="N87" s="236"/>
    </row>
    <row r="88" spans="14:15" ht="27" customHeight="1">
      <c r="N88" s="236"/>
    </row>
  </sheetData>
  <autoFilter ref="A3:Z60" xr:uid="{1C46656D-FA49-864B-B391-DD14E4953A1F}"/>
  <mergeCells count="4">
    <mergeCell ref="R57:R59"/>
    <mergeCell ref="N64:N65"/>
    <mergeCell ref="O64:O65"/>
    <mergeCell ref="P64:P65"/>
  </mergeCells>
  <phoneticPr fontId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5370-64BA-8944-BD94-E1D4C82D859E}">
  <sheetPr>
    <tabColor rgb="FFFFFF00"/>
    <pageSetUpPr fitToPage="1"/>
  </sheetPr>
  <dimension ref="B2:W29"/>
  <sheetViews>
    <sheetView zoomScale="64" workbookViewId="0">
      <selection activeCell="B2" sqref="B2:W29"/>
    </sheetView>
  </sheetViews>
  <sheetFormatPr baseColWidth="10" defaultRowHeight="16"/>
  <cols>
    <col min="2" max="2" width="28.5" customWidth="1"/>
    <col min="3" max="3" width="14.5" customWidth="1"/>
    <col min="4" max="4" width="3" customWidth="1"/>
    <col min="5" max="5" width="13.5" customWidth="1"/>
    <col min="6" max="8" width="13.6640625" customWidth="1"/>
    <col min="14" max="14" width="0" hidden="1" customWidth="1"/>
    <col min="15" max="15" width="15.5" customWidth="1"/>
  </cols>
  <sheetData>
    <row r="2" spans="2:23" ht="39">
      <c r="B2" s="440" t="s">
        <v>520</v>
      </c>
      <c r="C2" s="441"/>
      <c r="D2" s="441"/>
      <c r="E2" s="442"/>
      <c r="F2" s="442"/>
      <c r="G2" s="442"/>
      <c r="H2" s="443"/>
      <c r="I2" s="96"/>
      <c r="J2" s="101" t="s">
        <v>499</v>
      </c>
      <c r="K2" s="102" t="s">
        <v>500</v>
      </c>
      <c r="L2" s="103" t="s">
        <v>476</v>
      </c>
      <c r="M2" s="19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195" t="s">
        <v>465</v>
      </c>
      <c r="C3" s="195"/>
      <c r="D3" s="75"/>
      <c r="E3" s="196" t="s">
        <v>466</v>
      </c>
      <c r="F3" s="197"/>
      <c r="G3" s="197"/>
      <c r="H3" s="198"/>
      <c r="I3" s="96"/>
      <c r="J3" s="109">
        <v>101</v>
      </c>
      <c r="K3" s="446">
        <f>R3/Q3</f>
        <v>2.1014492753623188</v>
      </c>
      <c r="L3" s="450">
        <v>3</v>
      </c>
      <c r="M3" s="452">
        <v>29.9</v>
      </c>
      <c r="N3" s="110">
        <f>L3*M3</f>
        <v>89.699999999999989</v>
      </c>
      <c r="O3" s="454">
        <v>1418856</v>
      </c>
      <c r="P3" s="456">
        <f>Q3/(L3*C22)*100%</f>
        <v>0.8214285714285714</v>
      </c>
      <c r="Q3" s="460">
        <v>69</v>
      </c>
      <c r="R3" s="460">
        <v>145</v>
      </c>
      <c r="S3" s="460">
        <f>L3*C22</f>
        <v>84</v>
      </c>
      <c r="T3" s="454">
        <f>O3/Q3</f>
        <v>20563.130434782608</v>
      </c>
      <c r="U3" s="454">
        <f>O3/R3</f>
        <v>9785.2137931034486</v>
      </c>
      <c r="V3" s="454">
        <f>O3/S3</f>
        <v>16891.142857142859</v>
      </c>
      <c r="W3" s="462">
        <f>IFERROR(O3/(N3*C22),0)</f>
        <v>564.92116579073115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I4" s="96"/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46054</v>
      </c>
      <c r="D5" s="75"/>
      <c r="E5" s="84" t="s">
        <v>96</v>
      </c>
      <c r="F5" s="86">
        <v>817650</v>
      </c>
      <c r="G5" s="87">
        <v>8</v>
      </c>
      <c r="H5" s="88">
        <f t="shared" ref="H5:H13" si="0">IFERROR(F5/$F$13,0)</f>
        <v>0.15989391640460934</v>
      </c>
      <c r="I5" s="96"/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46081</v>
      </c>
      <c r="D6" s="75"/>
      <c r="E6" s="84" t="s">
        <v>119</v>
      </c>
      <c r="F6" s="86">
        <v>1891784</v>
      </c>
      <c r="G6" s="87">
        <v>17</v>
      </c>
      <c r="H6" s="88">
        <f t="shared" si="0"/>
        <v>0.36994405032908639</v>
      </c>
      <c r="I6" s="96"/>
      <c r="J6" s="111">
        <v>102</v>
      </c>
      <c r="K6" s="449">
        <f>R6/Q6</f>
        <v>2.6363636363636362</v>
      </c>
      <c r="L6" s="451">
        <v>2</v>
      </c>
      <c r="M6" s="453">
        <v>36.700000000000003</v>
      </c>
      <c r="N6" s="87">
        <f>L6*M6</f>
        <v>73.400000000000006</v>
      </c>
      <c r="O6" s="455">
        <v>1110978</v>
      </c>
      <c r="P6" s="459">
        <f>Q6/S6*100%</f>
        <v>0.7857142857142857</v>
      </c>
      <c r="Q6" s="461">
        <v>44</v>
      </c>
      <c r="R6" s="461">
        <v>116</v>
      </c>
      <c r="S6" s="461">
        <f>L6*C22</f>
        <v>56</v>
      </c>
      <c r="T6" s="455">
        <f>O6/Q6</f>
        <v>25249.5</v>
      </c>
      <c r="U6" s="455">
        <f>O6/R6</f>
        <v>9577.3965517241377</v>
      </c>
      <c r="V6" s="455">
        <f>O6/S6</f>
        <v>19838.892857142859</v>
      </c>
      <c r="W6" s="463">
        <f>IFERROR(O6/(N6*C22),0)</f>
        <v>540.56928766056819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1213149</v>
      </c>
      <c r="G7" s="87">
        <v>11</v>
      </c>
      <c r="H7" s="88">
        <f t="shared" si="0"/>
        <v>0.23723493523186623</v>
      </c>
      <c r="I7" s="96"/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835699</v>
      </c>
      <c r="G8" s="87">
        <v>11</v>
      </c>
      <c r="H8" s="88">
        <f t="shared" si="0"/>
        <v>0.1634234526330528</v>
      </c>
      <c r="I8" s="96"/>
      <c r="J8" s="111">
        <v>202</v>
      </c>
      <c r="K8" s="449">
        <f>R8/Q8</f>
        <v>3.4772727272727271</v>
      </c>
      <c r="L8" s="451">
        <v>2</v>
      </c>
      <c r="M8" s="453">
        <v>43.1</v>
      </c>
      <c r="N8" s="87">
        <f>L8*M8</f>
        <v>86.2</v>
      </c>
      <c r="O8" s="455">
        <v>1338866</v>
      </c>
      <c r="P8" s="459">
        <f>Q8/S8*100%</f>
        <v>0.7857142857142857</v>
      </c>
      <c r="Q8" s="461">
        <v>44</v>
      </c>
      <c r="R8" s="461">
        <v>153</v>
      </c>
      <c r="S8" s="461">
        <f>L8*C22</f>
        <v>56</v>
      </c>
      <c r="T8" s="455">
        <f>O8/Q8</f>
        <v>30428.772727272728</v>
      </c>
      <c r="U8" s="455">
        <f>O8/R8</f>
        <v>8750.758169934641</v>
      </c>
      <c r="V8" s="455">
        <f>O8/S8</f>
        <v>23908.321428571428</v>
      </c>
      <c r="W8" s="463">
        <f>IFERROR(O8/(N8*C22),0)</f>
        <v>554.71743453762019</v>
      </c>
    </row>
    <row r="9" spans="2:23">
      <c r="B9" s="84" t="s">
        <v>477</v>
      </c>
      <c r="C9" s="91">
        <f>'2026年2月予約一覧表'!M2</f>
        <v>5113703</v>
      </c>
      <c r="D9" s="75"/>
      <c r="E9" s="238" t="s">
        <v>526</v>
      </c>
      <c r="F9" s="239">
        <v>0</v>
      </c>
      <c r="G9" s="241">
        <v>0</v>
      </c>
      <c r="H9" s="240">
        <f t="shared" si="0"/>
        <v>0</v>
      </c>
      <c r="I9" s="96"/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'2026年2月予約一覧表'!K2+'2026年2月予約一覧表'!L2</f>
        <v>163</v>
      </c>
      <c r="D10" s="75"/>
      <c r="E10" s="238" t="s">
        <v>527</v>
      </c>
      <c r="F10" s="239">
        <v>0</v>
      </c>
      <c r="G10" s="241">
        <v>0</v>
      </c>
      <c r="H10" s="240">
        <f t="shared" si="0"/>
        <v>0</v>
      </c>
      <c r="I10" s="96"/>
      <c r="J10" s="111">
        <v>403</v>
      </c>
      <c r="K10" s="116">
        <f>R10/Q10</f>
        <v>3.4347826086956523</v>
      </c>
      <c r="L10" s="112">
        <v>1</v>
      </c>
      <c r="M10" s="87">
        <v>46.64</v>
      </c>
      <c r="N10" s="87"/>
      <c r="O10" s="86">
        <v>687153</v>
      </c>
      <c r="P10" s="117">
        <f>Q10/S10*100%</f>
        <v>0.8214285714285714</v>
      </c>
      <c r="Q10" s="113">
        <v>23</v>
      </c>
      <c r="R10" s="113">
        <v>79</v>
      </c>
      <c r="S10" s="113">
        <f>L10*C22</f>
        <v>28</v>
      </c>
      <c r="T10" s="86">
        <f>O10/Q10</f>
        <v>29876.217391304348</v>
      </c>
      <c r="U10" s="86">
        <f>O10/R10</f>
        <v>8698.1392405063289</v>
      </c>
      <c r="V10" s="86">
        <f>O10/S10</f>
        <v>24541.178571428572</v>
      </c>
      <c r="W10" s="114">
        <f>IFERROR(O10/(M10*C22),0)</f>
        <v>526.18307400147023</v>
      </c>
    </row>
    <row r="11" spans="2:23">
      <c r="B11" s="84" t="s">
        <v>480</v>
      </c>
      <c r="C11" s="89">
        <f>'2026年2月予約一覧表'!E2</f>
        <v>559</v>
      </c>
      <c r="D11" s="75"/>
      <c r="E11" s="90" t="s">
        <v>239</v>
      </c>
      <c r="F11" s="86">
        <v>113933</v>
      </c>
      <c r="G11" s="87">
        <v>4</v>
      </c>
      <c r="H11" s="88">
        <f t="shared" si="0"/>
        <v>2.2279940778727275E-2</v>
      </c>
      <c r="I11" s="96"/>
      <c r="J11" s="118">
        <v>401</v>
      </c>
      <c r="K11" s="119">
        <f>R11/Q11</f>
        <v>3.4736842105263159</v>
      </c>
      <c r="L11" s="120">
        <v>1</v>
      </c>
      <c r="M11" s="121">
        <v>60.22</v>
      </c>
      <c r="N11" s="121"/>
      <c r="O11" s="122">
        <v>557850</v>
      </c>
      <c r="P11" s="115">
        <f>Q11/S11*100%</f>
        <v>0.6785714285714286</v>
      </c>
      <c r="Q11" s="123">
        <v>19</v>
      </c>
      <c r="R11" s="123">
        <v>66</v>
      </c>
      <c r="S11" s="123">
        <f>L11*C22</f>
        <v>28</v>
      </c>
      <c r="T11" s="122">
        <f>O11/Q11</f>
        <v>29360.526315789473</v>
      </c>
      <c r="U11" s="122">
        <f>O11/R11</f>
        <v>8452.2727272727279</v>
      </c>
      <c r="V11" s="122">
        <f>O11/S11</f>
        <v>19923.214285714286</v>
      </c>
      <c r="W11" s="124">
        <f>IFERROR(O11/(M11*C22),0)</f>
        <v>330.84048963324955</v>
      </c>
    </row>
    <row r="12" spans="2:23">
      <c r="B12" s="84" t="s">
        <v>481</v>
      </c>
      <c r="C12" s="89">
        <v>9</v>
      </c>
      <c r="D12" s="75"/>
      <c r="E12" s="84" t="s">
        <v>482</v>
      </c>
      <c r="F12" s="86">
        <v>241488</v>
      </c>
      <c r="G12" s="87">
        <v>4</v>
      </c>
      <c r="H12" s="88">
        <f t="shared" si="0"/>
        <v>4.7223704622657986E-2</v>
      </c>
      <c r="I12" s="96"/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>SUM(O3:O11)</f>
        <v>5113703</v>
      </c>
      <c r="P12" s="129"/>
      <c r="Q12" s="130">
        <f>SUM(Q3:Q11)</f>
        <v>199</v>
      </c>
      <c r="R12" s="130">
        <f>SUM(R3:R11)</f>
        <v>559</v>
      </c>
      <c r="S12" s="130">
        <f>SUM(S3:S11)</f>
        <v>252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252</v>
      </c>
      <c r="D13" s="75"/>
      <c r="E13" s="92" t="s">
        <v>160</v>
      </c>
      <c r="F13" s="93">
        <f>SUM(F5:F12)</f>
        <v>5113703</v>
      </c>
      <c r="G13" s="237">
        <f>SUM(G5:G12)</f>
        <v>55</v>
      </c>
      <c r="H13" s="95">
        <f t="shared" si="0"/>
        <v>1</v>
      </c>
      <c r="I13" s="96"/>
      <c r="J13" s="96"/>
      <c r="K13" s="96"/>
      <c r="L13" s="96"/>
      <c r="M13" s="96"/>
      <c r="N13" s="96"/>
      <c r="O13" s="96"/>
      <c r="P13" s="138"/>
      <c r="Q13" s="139"/>
      <c r="R13" s="96"/>
      <c r="S13" s="96"/>
      <c r="T13" s="96"/>
      <c r="U13" s="96"/>
      <c r="V13" s="96"/>
      <c r="W13" s="96"/>
    </row>
    <row r="14" spans="2:23">
      <c r="B14" s="84" t="s">
        <v>484</v>
      </c>
      <c r="C14" s="89">
        <f>'2026年2月予約一覧表'!D2</f>
        <v>199</v>
      </c>
      <c r="D14" s="7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spans="2:23">
      <c r="B15" s="84" t="s">
        <v>485</v>
      </c>
      <c r="C15" s="89">
        <v>13</v>
      </c>
      <c r="D15" s="75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spans="2:23">
      <c r="B16" s="84" t="s">
        <v>486</v>
      </c>
      <c r="C16" s="89">
        <f>'2026年2月予約一覧表'!H2</f>
        <v>57</v>
      </c>
      <c r="D16" s="7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</row>
    <row r="17" spans="2:23">
      <c r="B17" s="92" t="s">
        <v>487</v>
      </c>
      <c r="C17" s="97">
        <v>62</v>
      </c>
      <c r="D17" s="75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</row>
    <row r="18" spans="2:23">
      <c r="B18" s="98" t="s">
        <v>488</v>
      </c>
      <c r="C18" s="75"/>
      <c r="D18" s="75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</row>
    <row r="19" spans="2:23">
      <c r="B19" s="98" t="s">
        <v>489</v>
      </c>
      <c r="C19" s="75"/>
      <c r="D19" s="75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spans="2:23">
      <c r="B20" s="75"/>
      <c r="C20" s="75"/>
      <c r="D20" s="75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spans="2:23">
      <c r="B21" s="199" t="s">
        <v>490</v>
      </c>
      <c r="C21" s="199"/>
      <c r="D21" s="75"/>
      <c r="E21" s="75"/>
      <c r="F21" s="75"/>
      <c r="G21" s="75"/>
      <c r="H21" s="75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spans="2:23">
      <c r="B22" s="79" t="s">
        <v>491</v>
      </c>
      <c r="C22" s="80">
        <f>DATEDIF(C5,C6,"D")+1</f>
        <v>28</v>
      </c>
      <c r="D22" s="75"/>
      <c r="E22" s="75"/>
      <c r="F22" s="75"/>
      <c r="G22" s="75"/>
      <c r="H22" s="7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spans="2:23">
      <c r="B23" s="84" t="s">
        <v>492</v>
      </c>
      <c r="C23" s="100">
        <f>IFERROR(C14/C13,0)</f>
        <v>0.78968253968253965</v>
      </c>
      <c r="D23" s="75"/>
      <c r="E23" s="75"/>
      <c r="F23" s="75"/>
      <c r="G23" s="75"/>
      <c r="H23" s="75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spans="2:23">
      <c r="B24" s="84" t="s">
        <v>493</v>
      </c>
      <c r="C24" s="91">
        <f>IFERROR(C9/C14,0)</f>
        <v>25697</v>
      </c>
      <c r="D24" s="75"/>
      <c r="E24" s="75"/>
      <c r="F24" s="75"/>
      <c r="G24" s="75"/>
      <c r="H24" s="75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spans="2:23">
      <c r="B25" s="84" t="s">
        <v>494</v>
      </c>
      <c r="C25" s="91">
        <f>IFERROR(C9/C11,0)</f>
        <v>9147.9481216457953</v>
      </c>
      <c r="D25" s="75"/>
      <c r="E25" s="75"/>
      <c r="F25" s="75"/>
      <c r="G25" s="75"/>
      <c r="H25" s="7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spans="2:23">
      <c r="B26" s="84" t="s">
        <v>495</v>
      </c>
      <c r="C26" s="91">
        <f>IFERROR(C9/C13,0)</f>
        <v>20292.472222222223</v>
      </c>
      <c r="D26" s="75"/>
      <c r="E26" s="75"/>
      <c r="F26" s="75"/>
      <c r="G26" s="75"/>
      <c r="H26" s="7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spans="2:23">
      <c r="B27" s="84" t="s">
        <v>496</v>
      </c>
      <c r="C27" s="91">
        <f>IFERROR(C9/(C7*C22),0)</f>
        <v>513.01193820224717</v>
      </c>
      <c r="D27" s="75"/>
      <c r="E27" s="75"/>
      <c r="F27" s="75"/>
      <c r="G27" s="75"/>
      <c r="H27" s="75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spans="2:23">
      <c r="B28" s="84" t="s">
        <v>497</v>
      </c>
      <c r="C28" s="100">
        <f>IFERROR(C15/C16,0)</f>
        <v>0.22807017543859648</v>
      </c>
      <c r="D28" s="75"/>
      <c r="E28" s="75"/>
      <c r="F28" s="75"/>
      <c r="G28" s="75"/>
      <c r="H28" s="7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spans="2:23">
      <c r="B29" s="92" t="s">
        <v>498</v>
      </c>
      <c r="C29" s="200">
        <f>IFERROR(C17/(C14+C17),0)</f>
        <v>0.23754789272030652</v>
      </c>
      <c r="D29" s="75"/>
      <c r="E29" s="75"/>
      <c r="F29" s="75"/>
      <c r="G29" s="75"/>
      <c r="H29" s="75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41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C902-6514-C448-940F-8297C47FFC78}">
  <sheetPr>
    <tabColor rgb="FF00B050"/>
  </sheetPr>
  <dimension ref="B1:R67"/>
  <sheetViews>
    <sheetView workbookViewId="0">
      <selection activeCell="F11" sqref="F11"/>
    </sheetView>
  </sheetViews>
  <sheetFormatPr baseColWidth="10" defaultColWidth="8.83203125" defaultRowHeight="16"/>
  <cols>
    <col min="1" max="1" width="8.83203125" style="267"/>
    <col min="2" max="3" width="12.1640625" style="267" customWidth="1"/>
    <col min="4" max="4" width="4.5" style="267" customWidth="1"/>
    <col min="5" max="5" width="7.1640625" style="267" customWidth="1"/>
    <col min="6" max="6" width="13" style="267" customWidth="1"/>
    <col min="7" max="7" width="22.6640625" style="267" customWidth="1"/>
    <col min="8" max="8" width="3.5" style="267" customWidth="1"/>
    <col min="9" max="9" width="13" style="267" customWidth="1"/>
    <col min="10" max="10" width="8.6640625" style="267" customWidth="1"/>
    <col min="11" max="12" width="4.1640625" style="267" customWidth="1"/>
    <col min="13" max="13" width="10" style="267" customWidth="1"/>
    <col min="14" max="15" width="10.5" style="267" customWidth="1"/>
    <col min="16" max="16" width="11.5" style="267" customWidth="1"/>
    <col min="17" max="17" width="6.83203125" style="267" customWidth="1"/>
    <col min="18" max="16384" width="8.83203125" style="267"/>
  </cols>
  <sheetData>
    <row r="1" spans="2:18" ht="17" thickBot="1"/>
    <row r="2" spans="2:18" ht="27" customHeight="1" thickBot="1">
      <c r="B2" s="278"/>
      <c r="C2" s="279"/>
      <c r="D2" s="281">
        <f>SUM(D4:D67)</f>
        <v>240</v>
      </c>
      <c r="E2" s="281">
        <f>SUM(E4:E67)</f>
        <v>680</v>
      </c>
      <c r="F2" s="281"/>
      <c r="G2" s="281"/>
      <c r="H2" s="281">
        <f t="shared" ref="H2" si="0">SUM(H4:H67)</f>
        <v>64</v>
      </c>
      <c r="I2" s="279"/>
      <c r="J2" s="279"/>
      <c r="K2" s="281">
        <f t="shared" ref="K2:P2" si="1">SUM(K4:K67)</f>
        <v>159</v>
      </c>
      <c r="L2" s="281">
        <f t="shared" si="1"/>
        <v>20</v>
      </c>
      <c r="M2" s="282">
        <f t="shared" si="1"/>
        <v>7046459</v>
      </c>
      <c r="N2" s="282">
        <f t="shared" si="1"/>
        <v>940470</v>
      </c>
      <c r="O2" s="282">
        <f t="shared" si="1"/>
        <v>99041</v>
      </c>
      <c r="P2" s="282">
        <f t="shared" si="1"/>
        <v>6004708</v>
      </c>
      <c r="Q2" s="282">
        <f>SUM(Q4:Q67)</f>
        <v>2240</v>
      </c>
      <c r="R2" s="280"/>
    </row>
    <row r="3" spans="2:18" s="140" customFormat="1" ht="34" customHeight="1" thickBot="1">
      <c r="B3" s="288" t="s">
        <v>23</v>
      </c>
      <c r="C3" s="289" t="s">
        <v>24</v>
      </c>
      <c r="D3" s="289" t="s">
        <v>26</v>
      </c>
      <c r="E3" s="289" t="s">
        <v>463</v>
      </c>
      <c r="F3" s="289" t="s">
        <v>27</v>
      </c>
      <c r="G3" s="289" t="s">
        <v>28</v>
      </c>
      <c r="H3" s="289" t="s">
        <v>29</v>
      </c>
      <c r="I3" s="289" t="s">
        <v>30</v>
      </c>
      <c r="J3" s="289" t="s">
        <v>403</v>
      </c>
      <c r="K3" s="289" t="s">
        <v>528</v>
      </c>
      <c r="L3" s="289" t="s">
        <v>405</v>
      </c>
      <c r="M3" s="289" t="s">
        <v>32</v>
      </c>
      <c r="N3" s="289" t="s">
        <v>33</v>
      </c>
      <c r="O3" s="289" t="s">
        <v>34</v>
      </c>
      <c r="P3" s="289" t="s">
        <v>406</v>
      </c>
      <c r="Q3" s="289" t="s">
        <v>162</v>
      </c>
      <c r="R3" s="290" t="s">
        <v>38</v>
      </c>
    </row>
    <row r="4" spans="2:18" ht="27" customHeight="1">
      <c r="B4" s="283">
        <v>46077</v>
      </c>
      <c r="C4" s="284">
        <v>46082</v>
      </c>
      <c r="D4" s="285">
        <v>5</v>
      </c>
      <c r="E4" s="285">
        <f>D4*(K4+L4)</f>
        <v>10</v>
      </c>
      <c r="F4" s="285" t="s">
        <v>119</v>
      </c>
      <c r="G4" s="285" t="s">
        <v>54</v>
      </c>
      <c r="H4" s="285">
        <v>1</v>
      </c>
      <c r="I4" s="285" t="s">
        <v>529</v>
      </c>
      <c r="J4" s="285" t="s">
        <v>335</v>
      </c>
      <c r="K4" s="285">
        <v>2</v>
      </c>
      <c r="L4" s="285">
        <v>0</v>
      </c>
      <c r="M4" s="286">
        <f>93330+6000</f>
        <v>99330</v>
      </c>
      <c r="N4" s="286">
        <v>11920</v>
      </c>
      <c r="O4" s="286">
        <v>2285</v>
      </c>
      <c r="P4" s="286">
        <f>M4-N4-O4</f>
        <v>85125</v>
      </c>
      <c r="Q4" s="285">
        <v>0</v>
      </c>
      <c r="R4" s="287" t="s">
        <v>46</v>
      </c>
    </row>
    <row r="5" spans="2:18" ht="27" customHeight="1">
      <c r="B5" s="271">
        <v>46078</v>
      </c>
      <c r="C5" s="269">
        <v>46082</v>
      </c>
      <c r="D5" s="270">
        <v>4</v>
      </c>
      <c r="E5" s="270">
        <f t="shared" ref="E5:E67" si="2">D5*(K5+L5)</f>
        <v>8</v>
      </c>
      <c r="F5" s="270" t="s">
        <v>119</v>
      </c>
      <c r="G5" s="270" t="s">
        <v>49</v>
      </c>
      <c r="H5" s="270">
        <v>1</v>
      </c>
      <c r="I5" s="270" t="s">
        <v>530</v>
      </c>
      <c r="J5" s="270" t="s">
        <v>51</v>
      </c>
      <c r="K5" s="270">
        <v>2</v>
      </c>
      <c r="L5" s="270">
        <v>0</v>
      </c>
      <c r="M5" s="268">
        <f>70056+6000</f>
        <v>76056</v>
      </c>
      <c r="N5" s="268">
        <v>9127</v>
      </c>
      <c r="O5" s="268">
        <v>1749</v>
      </c>
      <c r="P5" s="268">
        <f t="shared" ref="P5:P64" si="3">M5-N5-O5</f>
        <v>65180</v>
      </c>
      <c r="Q5" s="270">
        <v>0</v>
      </c>
      <c r="R5" s="272" t="s">
        <v>46</v>
      </c>
    </row>
    <row r="6" spans="2:18" ht="27" customHeight="1">
      <c r="B6" s="271">
        <v>46080</v>
      </c>
      <c r="C6" s="269">
        <v>46083</v>
      </c>
      <c r="D6" s="270">
        <v>3</v>
      </c>
      <c r="E6" s="270">
        <f t="shared" si="2"/>
        <v>6</v>
      </c>
      <c r="F6" s="270" t="s">
        <v>119</v>
      </c>
      <c r="G6" s="270" t="s">
        <v>54</v>
      </c>
      <c r="H6" s="270">
        <v>1</v>
      </c>
      <c r="I6" s="270" t="s">
        <v>531</v>
      </c>
      <c r="J6" s="270" t="s">
        <v>340</v>
      </c>
      <c r="K6" s="270">
        <v>2</v>
      </c>
      <c r="L6" s="270">
        <v>0</v>
      </c>
      <c r="M6" s="268">
        <f>41175+6000</f>
        <v>47175</v>
      </c>
      <c r="N6" s="268">
        <v>5661</v>
      </c>
      <c r="O6" s="268">
        <v>1085</v>
      </c>
      <c r="P6" s="268">
        <f t="shared" si="3"/>
        <v>40429</v>
      </c>
      <c r="Q6" s="270">
        <v>0</v>
      </c>
      <c r="R6" s="272" t="s">
        <v>46</v>
      </c>
    </row>
    <row r="7" spans="2:18" ht="27" customHeight="1">
      <c r="B7" s="271">
        <v>46080</v>
      </c>
      <c r="C7" s="269">
        <v>46084</v>
      </c>
      <c r="D7" s="270">
        <v>4</v>
      </c>
      <c r="E7" s="270">
        <f t="shared" si="2"/>
        <v>12</v>
      </c>
      <c r="F7" s="270" t="s">
        <v>119</v>
      </c>
      <c r="G7" s="270" t="s">
        <v>71</v>
      </c>
      <c r="H7" s="270">
        <v>1</v>
      </c>
      <c r="I7" s="270" t="s">
        <v>532</v>
      </c>
      <c r="J7" s="270" t="s">
        <v>366</v>
      </c>
      <c r="K7" s="270">
        <v>2</v>
      </c>
      <c r="L7" s="270">
        <v>1</v>
      </c>
      <c r="M7" s="268">
        <f>141777+6000</f>
        <v>147777</v>
      </c>
      <c r="N7" s="268">
        <v>17733</v>
      </c>
      <c r="O7" s="268">
        <v>3399</v>
      </c>
      <c r="P7" s="268">
        <f>M7-N7-O7</f>
        <v>126645</v>
      </c>
      <c r="Q7" s="270">
        <v>0</v>
      </c>
      <c r="R7" s="272" t="s">
        <v>46</v>
      </c>
    </row>
    <row r="8" spans="2:18" ht="27" customHeight="1">
      <c r="B8" s="271">
        <v>46082</v>
      </c>
      <c r="C8" s="269">
        <v>46087</v>
      </c>
      <c r="D8" s="270">
        <v>5</v>
      </c>
      <c r="E8" s="270">
        <f t="shared" si="2"/>
        <v>15</v>
      </c>
      <c r="F8" s="270" t="s">
        <v>119</v>
      </c>
      <c r="G8" s="270" t="s">
        <v>49</v>
      </c>
      <c r="H8" s="270">
        <v>1</v>
      </c>
      <c r="I8" s="270" t="s">
        <v>533</v>
      </c>
      <c r="J8" s="270" t="s">
        <v>375</v>
      </c>
      <c r="K8" s="270">
        <v>2</v>
      </c>
      <c r="L8" s="270">
        <v>1</v>
      </c>
      <c r="M8" s="268">
        <f>62550+6000</f>
        <v>68550</v>
      </c>
      <c r="N8" s="268">
        <v>8226</v>
      </c>
      <c r="O8" s="268">
        <v>1577</v>
      </c>
      <c r="P8" s="268">
        <f t="shared" si="3"/>
        <v>58747</v>
      </c>
      <c r="Q8" s="270">
        <v>0</v>
      </c>
      <c r="R8" s="272" t="s">
        <v>46</v>
      </c>
    </row>
    <row r="9" spans="2:18" ht="27" customHeight="1">
      <c r="B9" s="271">
        <v>46082</v>
      </c>
      <c r="C9" s="269">
        <v>46084</v>
      </c>
      <c r="D9" s="270">
        <v>2</v>
      </c>
      <c r="E9" s="270">
        <f t="shared" si="2"/>
        <v>6</v>
      </c>
      <c r="F9" s="270" t="s">
        <v>119</v>
      </c>
      <c r="G9" s="270" t="s">
        <v>43</v>
      </c>
      <c r="H9" s="270">
        <v>1</v>
      </c>
      <c r="I9" s="270" t="s">
        <v>534</v>
      </c>
      <c r="J9" s="270" t="s">
        <v>51</v>
      </c>
      <c r="K9" s="270">
        <v>3</v>
      </c>
      <c r="L9" s="270">
        <v>0</v>
      </c>
      <c r="M9" s="268">
        <f>52380+6000</f>
        <v>58380</v>
      </c>
      <c r="N9" s="268">
        <v>7006</v>
      </c>
      <c r="O9" s="268">
        <v>1343</v>
      </c>
      <c r="P9" s="268">
        <f t="shared" si="3"/>
        <v>50031</v>
      </c>
      <c r="Q9" s="270">
        <v>0</v>
      </c>
      <c r="R9" s="272" t="s">
        <v>46</v>
      </c>
    </row>
    <row r="10" spans="2:18" ht="27" customHeight="1">
      <c r="B10" s="271">
        <v>46082</v>
      </c>
      <c r="C10" s="269">
        <v>46087</v>
      </c>
      <c r="D10" s="270">
        <v>5</v>
      </c>
      <c r="E10" s="270">
        <f t="shared" si="2"/>
        <v>10</v>
      </c>
      <c r="F10" s="270" t="s">
        <v>119</v>
      </c>
      <c r="G10" s="270" t="s">
        <v>54</v>
      </c>
      <c r="H10" s="270">
        <v>1</v>
      </c>
      <c r="I10" s="270" t="s">
        <v>535</v>
      </c>
      <c r="J10" s="270" t="s">
        <v>536</v>
      </c>
      <c r="K10" s="270">
        <v>2</v>
      </c>
      <c r="L10" s="270">
        <v>0</v>
      </c>
      <c r="M10" s="268">
        <f>137250+6000</f>
        <v>143250</v>
      </c>
      <c r="N10" s="268">
        <v>17190</v>
      </c>
      <c r="O10" s="268">
        <v>3295</v>
      </c>
      <c r="P10" s="268">
        <f t="shared" si="3"/>
        <v>122765</v>
      </c>
      <c r="Q10" s="270">
        <v>0</v>
      </c>
      <c r="R10" s="272" t="s">
        <v>46</v>
      </c>
    </row>
    <row r="11" spans="2:18" ht="27" customHeight="1">
      <c r="B11" s="271">
        <v>46084</v>
      </c>
      <c r="C11" s="269">
        <v>46087</v>
      </c>
      <c r="D11" s="270">
        <v>3</v>
      </c>
      <c r="E11" s="270">
        <f t="shared" si="2"/>
        <v>6</v>
      </c>
      <c r="F11" s="270" t="s">
        <v>119</v>
      </c>
      <c r="G11" s="270" t="s">
        <v>49</v>
      </c>
      <c r="H11" s="270">
        <v>1</v>
      </c>
      <c r="I11" s="270" t="s">
        <v>537</v>
      </c>
      <c r="J11" s="270" t="s">
        <v>45</v>
      </c>
      <c r="K11" s="270">
        <v>2</v>
      </c>
      <c r="L11" s="270">
        <v>0</v>
      </c>
      <c r="M11" s="268">
        <f>37530+6000</f>
        <v>43530</v>
      </c>
      <c r="N11" s="268">
        <v>5224</v>
      </c>
      <c r="O11" s="268">
        <v>1001</v>
      </c>
      <c r="P11" s="268">
        <f t="shared" si="3"/>
        <v>37305</v>
      </c>
      <c r="Q11" s="270">
        <v>0</v>
      </c>
      <c r="R11" s="272" t="s">
        <v>46</v>
      </c>
    </row>
    <row r="12" spans="2:18" ht="27" customHeight="1">
      <c r="B12" s="271">
        <v>46084</v>
      </c>
      <c r="C12" s="269">
        <v>46092</v>
      </c>
      <c r="D12" s="270">
        <v>8</v>
      </c>
      <c r="E12" s="270">
        <f t="shared" si="2"/>
        <v>16</v>
      </c>
      <c r="F12" s="270" t="s">
        <v>119</v>
      </c>
      <c r="G12" s="270" t="s">
        <v>49</v>
      </c>
      <c r="H12" s="270">
        <v>1</v>
      </c>
      <c r="I12" s="270" t="s">
        <v>538</v>
      </c>
      <c r="J12" s="270" t="s">
        <v>539</v>
      </c>
      <c r="K12" s="270">
        <v>2</v>
      </c>
      <c r="L12" s="270">
        <v>0</v>
      </c>
      <c r="M12" s="268">
        <f>120096+6000</f>
        <v>126096</v>
      </c>
      <c r="N12" s="268">
        <v>15132</v>
      </c>
      <c r="O12" s="268">
        <v>2900</v>
      </c>
      <c r="P12" s="268">
        <f t="shared" si="3"/>
        <v>108064</v>
      </c>
      <c r="Q12" s="270">
        <v>0</v>
      </c>
      <c r="R12" s="272" t="s">
        <v>46</v>
      </c>
    </row>
    <row r="13" spans="2:18" ht="27" customHeight="1">
      <c r="B13" s="271">
        <v>46087</v>
      </c>
      <c r="C13" s="269">
        <v>46090</v>
      </c>
      <c r="D13" s="270">
        <v>3</v>
      </c>
      <c r="E13" s="270">
        <f t="shared" si="2"/>
        <v>6</v>
      </c>
      <c r="F13" s="270" t="s">
        <v>119</v>
      </c>
      <c r="G13" s="270" t="s">
        <v>54</v>
      </c>
      <c r="H13" s="270">
        <v>1</v>
      </c>
      <c r="I13" s="270" t="s">
        <v>540</v>
      </c>
      <c r="J13" s="270" t="s">
        <v>340</v>
      </c>
      <c r="K13" s="270">
        <v>2</v>
      </c>
      <c r="L13" s="270">
        <v>0</v>
      </c>
      <c r="M13" s="268">
        <f>41175+6000</f>
        <v>47175</v>
      </c>
      <c r="N13" s="268">
        <v>5661</v>
      </c>
      <c r="O13" s="268">
        <v>1085</v>
      </c>
      <c r="P13" s="268">
        <f t="shared" si="3"/>
        <v>40429</v>
      </c>
      <c r="Q13" s="270">
        <v>0</v>
      </c>
      <c r="R13" s="272" t="s">
        <v>46</v>
      </c>
    </row>
    <row r="14" spans="2:18" ht="27" customHeight="1">
      <c r="B14" s="271">
        <v>46087</v>
      </c>
      <c r="C14" s="269">
        <v>46091</v>
      </c>
      <c r="D14" s="270">
        <v>4</v>
      </c>
      <c r="E14" s="270">
        <f t="shared" si="2"/>
        <v>8</v>
      </c>
      <c r="F14" s="270" t="s">
        <v>119</v>
      </c>
      <c r="G14" s="270" t="s">
        <v>49</v>
      </c>
      <c r="H14" s="270">
        <v>1</v>
      </c>
      <c r="I14" s="270" t="s">
        <v>166</v>
      </c>
      <c r="J14" s="270" t="s">
        <v>51</v>
      </c>
      <c r="K14" s="270">
        <v>2</v>
      </c>
      <c r="L14" s="270">
        <v>0</v>
      </c>
      <c r="M14" s="268">
        <f>60048+6000</f>
        <v>66048</v>
      </c>
      <c r="N14" s="268">
        <v>7926</v>
      </c>
      <c r="O14" s="268">
        <v>1519</v>
      </c>
      <c r="P14" s="268">
        <f t="shared" si="3"/>
        <v>56603</v>
      </c>
      <c r="Q14" s="270">
        <v>0</v>
      </c>
      <c r="R14" s="272" t="s">
        <v>46</v>
      </c>
    </row>
    <row r="15" spans="2:18" ht="27" customHeight="1">
      <c r="B15" s="271">
        <v>46087</v>
      </c>
      <c r="C15" s="269">
        <v>46089</v>
      </c>
      <c r="D15" s="270">
        <v>2</v>
      </c>
      <c r="E15" s="270">
        <f t="shared" si="2"/>
        <v>6</v>
      </c>
      <c r="F15" s="270" t="s">
        <v>119</v>
      </c>
      <c r="G15" s="270" t="s">
        <v>54</v>
      </c>
      <c r="H15" s="270">
        <v>1</v>
      </c>
      <c r="I15" s="270" t="s">
        <v>541</v>
      </c>
      <c r="J15" s="270" t="s">
        <v>57</v>
      </c>
      <c r="K15" s="270">
        <v>2</v>
      </c>
      <c r="L15" s="270">
        <v>1</v>
      </c>
      <c r="M15" s="268">
        <f>53530+6000</f>
        <v>59530</v>
      </c>
      <c r="N15" s="268">
        <v>7144</v>
      </c>
      <c r="O15" s="268">
        <v>1369</v>
      </c>
      <c r="P15" s="268">
        <f t="shared" si="3"/>
        <v>51017</v>
      </c>
      <c r="Q15" s="270">
        <v>0</v>
      </c>
      <c r="R15" s="272" t="s">
        <v>46</v>
      </c>
    </row>
    <row r="16" spans="2:18" ht="27" customHeight="1">
      <c r="B16" s="271">
        <v>46088</v>
      </c>
      <c r="C16" s="269">
        <v>46090</v>
      </c>
      <c r="D16" s="270">
        <v>2</v>
      </c>
      <c r="E16" s="270">
        <f t="shared" si="2"/>
        <v>6</v>
      </c>
      <c r="F16" s="270" t="s">
        <v>119</v>
      </c>
      <c r="G16" s="270" t="s">
        <v>56</v>
      </c>
      <c r="H16" s="270">
        <v>1</v>
      </c>
      <c r="I16" s="270" t="s">
        <v>542</v>
      </c>
      <c r="J16" s="270" t="s">
        <v>67</v>
      </c>
      <c r="K16" s="270">
        <v>3</v>
      </c>
      <c r="L16" s="270">
        <v>0</v>
      </c>
      <c r="M16" s="268">
        <f>67500+6000</f>
        <v>73500</v>
      </c>
      <c r="N16" s="268">
        <v>8820</v>
      </c>
      <c r="O16" s="268">
        <v>1690</v>
      </c>
      <c r="P16" s="268">
        <f t="shared" si="3"/>
        <v>62990</v>
      </c>
      <c r="Q16" s="270">
        <v>0</v>
      </c>
      <c r="R16" s="272" t="s">
        <v>46</v>
      </c>
    </row>
    <row r="17" spans="2:18" ht="27" customHeight="1">
      <c r="B17" s="271">
        <v>46090</v>
      </c>
      <c r="C17" s="269">
        <v>46093</v>
      </c>
      <c r="D17" s="270">
        <v>3</v>
      </c>
      <c r="E17" s="270">
        <f t="shared" si="2"/>
        <v>6</v>
      </c>
      <c r="F17" s="270" t="s">
        <v>119</v>
      </c>
      <c r="G17" s="270" t="s">
        <v>54</v>
      </c>
      <c r="H17" s="270">
        <v>1</v>
      </c>
      <c r="I17" s="270" t="s">
        <v>543</v>
      </c>
      <c r="J17" s="270" t="s">
        <v>366</v>
      </c>
      <c r="K17" s="270">
        <v>2</v>
      </c>
      <c r="L17" s="270">
        <v>0</v>
      </c>
      <c r="M17" s="268">
        <f>41175+6000</f>
        <v>47175</v>
      </c>
      <c r="N17" s="268">
        <v>5661</v>
      </c>
      <c r="O17" s="268">
        <v>1085</v>
      </c>
      <c r="P17" s="268">
        <f t="shared" si="3"/>
        <v>40429</v>
      </c>
      <c r="Q17" s="270">
        <v>0</v>
      </c>
      <c r="R17" s="272" t="s">
        <v>46</v>
      </c>
    </row>
    <row r="18" spans="2:18" ht="27" customHeight="1">
      <c r="B18" s="271">
        <v>46091</v>
      </c>
      <c r="C18" s="269">
        <v>46095</v>
      </c>
      <c r="D18" s="270">
        <v>4</v>
      </c>
      <c r="E18" s="270">
        <f t="shared" si="2"/>
        <v>12</v>
      </c>
      <c r="F18" s="270" t="s">
        <v>119</v>
      </c>
      <c r="G18" s="270" t="s">
        <v>49</v>
      </c>
      <c r="H18" s="270">
        <v>1</v>
      </c>
      <c r="I18" s="270" t="s">
        <v>544</v>
      </c>
      <c r="J18" s="270" t="s">
        <v>545</v>
      </c>
      <c r="K18" s="270">
        <v>2</v>
      </c>
      <c r="L18" s="270">
        <v>1</v>
      </c>
      <c r="M18" s="268">
        <f>67554+6000</f>
        <v>73554</v>
      </c>
      <c r="N18" s="268">
        <v>8826</v>
      </c>
      <c r="O18" s="268">
        <v>1692</v>
      </c>
      <c r="P18" s="268">
        <f t="shared" si="3"/>
        <v>63036</v>
      </c>
      <c r="Q18" s="270">
        <v>0</v>
      </c>
      <c r="R18" s="272" t="s">
        <v>46</v>
      </c>
    </row>
    <row r="19" spans="2:18" ht="27" customHeight="1">
      <c r="B19" s="271">
        <v>46091</v>
      </c>
      <c r="C19" s="269">
        <v>46094</v>
      </c>
      <c r="D19" s="270">
        <v>3</v>
      </c>
      <c r="E19" s="270">
        <f t="shared" si="2"/>
        <v>9</v>
      </c>
      <c r="F19" s="270" t="s">
        <v>119</v>
      </c>
      <c r="G19" s="270" t="s">
        <v>71</v>
      </c>
      <c r="H19" s="270">
        <v>1</v>
      </c>
      <c r="I19" s="270" t="s">
        <v>546</v>
      </c>
      <c r="J19" s="270" t="s">
        <v>51</v>
      </c>
      <c r="K19" s="270">
        <v>3</v>
      </c>
      <c r="L19" s="270">
        <v>0</v>
      </c>
      <c r="M19" s="268">
        <f>80549+6000</f>
        <v>86549</v>
      </c>
      <c r="N19" s="268">
        <v>10386</v>
      </c>
      <c r="O19" s="268">
        <v>1991</v>
      </c>
      <c r="P19" s="268">
        <f t="shared" si="3"/>
        <v>74172</v>
      </c>
      <c r="Q19" s="270">
        <v>0</v>
      </c>
      <c r="R19" s="272" t="s">
        <v>46</v>
      </c>
    </row>
    <row r="20" spans="2:18" ht="27" customHeight="1">
      <c r="B20" s="271">
        <v>46091</v>
      </c>
      <c r="C20" s="269">
        <v>46096</v>
      </c>
      <c r="D20" s="270">
        <v>5</v>
      </c>
      <c r="E20" s="270">
        <f t="shared" si="2"/>
        <v>15</v>
      </c>
      <c r="F20" s="270" t="s">
        <v>119</v>
      </c>
      <c r="G20" s="270" t="s">
        <v>54</v>
      </c>
      <c r="H20" s="270">
        <v>1</v>
      </c>
      <c r="I20" s="270" t="s">
        <v>547</v>
      </c>
      <c r="J20" s="270" t="s">
        <v>45</v>
      </c>
      <c r="K20" s="270">
        <v>3</v>
      </c>
      <c r="L20" s="270">
        <v>0</v>
      </c>
      <c r="M20" s="268">
        <f>142740+6000</f>
        <v>148740</v>
      </c>
      <c r="N20" s="268">
        <v>17849</v>
      </c>
      <c r="O20" s="268">
        <v>3421</v>
      </c>
      <c r="P20" s="268">
        <f t="shared" si="3"/>
        <v>127470</v>
      </c>
      <c r="Q20" s="270">
        <v>0</v>
      </c>
      <c r="R20" s="272" t="s">
        <v>46</v>
      </c>
    </row>
    <row r="21" spans="2:18" ht="27" customHeight="1">
      <c r="B21" s="271">
        <v>46092</v>
      </c>
      <c r="C21" s="269">
        <v>46096</v>
      </c>
      <c r="D21" s="270">
        <v>4</v>
      </c>
      <c r="E21" s="270">
        <f t="shared" si="2"/>
        <v>8</v>
      </c>
      <c r="F21" s="270" t="s">
        <v>119</v>
      </c>
      <c r="G21" s="270" t="s">
        <v>56</v>
      </c>
      <c r="H21" s="270">
        <v>1</v>
      </c>
      <c r="I21" s="270" t="s">
        <v>548</v>
      </c>
      <c r="J21" s="270" t="s">
        <v>549</v>
      </c>
      <c r="K21" s="270">
        <v>2</v>
      </c>
      <c r="L21" s="270">
        <v>0</v>
      </c>
      <c r="M21" s="268">
        <f>90000+6000</f>
        <v>96000</v>
      </c>
      <c r="N21" s="268">
        <v>11520</v>
      </c>
      <c r="O21" s="268">
        <v>2208</v>
      </c>
      <c r="P21" s="268">
        <f t="shared" si="3"/>
        <v>82272</v>
      </c>
      <c r="Q21" s="270">
        <v>0</v>
      </c>
      <c r="R21" s="272" t="s">
        <v>46</v>
      </c>
    </row>
    <row r="22" spans="2:18" ht="27" customHeight="1">
      <c r="B22" s="271">
        <v>46092</v>
      </c>
      <c r="C22" s="269">
        <v>46094</v>
      </c>
      <c r="D22" s="270">
        <v>2</v>
      </c>
      <c r="E22" s="270">
        <f t="shared" si="2"/>
        <v>6</v>
      </c>
      <c r="F22" s="270" t="s">
        <v>119</v>
      </c>
      <c r="G22" s="270" t="s">
        <v>43</v>
      </c>
      <c r="H22" s="270">
        <v>1</v>
      </c>
      <c r="I22" s="270" t="s">
        <v>550</v>
      </c>
      <c r="J22" s="270" t="s">
        <v>551</v>
      </c>
      <c r="K22" s="270">
        <v>2</v>
      </c>
      <c r="L22" s="270">
        <v>1</v>
      </c>
      <c r="M22" s="268">
        <f>52380+6000</f>
        <v>58380</v>
      </c>
      <c r="N22" s="268">
        <v>7006</v>
      </c>
      <c r="O22" s="268">
        <v>1343</v>
      </c>
      <c r="P22" s="268">
        <f t="shared" si="3"/>
        <v>50031</v>
      </c>
      <c r="Q22" s="270">
        <v>0</v>
      </c>
      <c r="R22" s="272" t="s">
        <v>46</v>
      </c>
    </row>
    <row r="23" spans="2:18" ht="27" customHeight="1">
      <c r="B23" s="271">
        <v>46093</v>
      </c>
      <c r="C23" s="269">
        <v>46098</v>
      </c>
      <c r="D23" s="270">
        <v>5</v>
      </c>
      <c r="E23" s="270">
        <f t="shared" si="2"/>
        <v>20</v>
      </c>
      <c r="F23" s="270" t="s">
        <v>119</v>
      </c>
      <c r="G23" s="270" t="s">
        <v>54</v>
      </c>
      <c r="H23" s="270">
        <v>1</v>
      </c>
      <c r="I23" s="270" t="s">
        <v>552</v>
      </c>
      <c r="J23" s="270" t="s">
        <v>375</v>
      </c>
      <c r="K23" s="270">
        <v>2</v>
      </c>
      <c r="L23" s="270">
        <v>2</v>
      </c>
      <c r="M23" s="268">
        <f>107057+6000</f>
        <v>113057</v>
      </c>
      <c r="N23" s="268">
        <v>13567</v>
      </c>
      <c r="O23" s="268">
        <v>2600</v>
      </c>
      <c r="P23" s="268">
        <f t="shared" si="3"/>
        <v>96890</v>
      </c>
      <c r="Q23" s="270">
        <v>0</v>
      </c>
      <c r="R23" s="272" t="s">
        <v>46</v>
      </c>
    </row>
    <row r="24" spans="2:18" ht="27" customHeight="1">
      <c r="B24" s="271">
        <v>46094</v>
      </c>
      <c r="C24" s="269">
        <v>46098</v>
      </c>
      <c r="D24" s="270">
        <v>4</v>
      </c>
      <c r="E24" s="270">
        <f t="shared" si="2"/>
        <v>12</v>
      </c>
      <c r="F24" s="270" t="s">
        <v>119</v>
      </c>
      <c r="G24" s="270" t="s">
        <v>71</v>
      </c>
      <c r="H24" s="270">
        <v>1</v>
      </c>
      <c r="I24" s="270" t="s">
        <v>553</v>
      </c>
      <c r="J24" s="270" t="s">
        <v>45</v>
      </c>
      <c r="K24" s="270">
        <v>3</v>
      </c>
      <c r="L24" s="270">
        <v>0</v>
      </c>
      <c r="M24" s="268">
        <f>141777+6000</f>
        <v>147777</v>
      </c>
      <c r="N24" s="268">
        <v>17733</v>
      </c>
      <c r="O24" s="268">
        <v>3399</v>
      </c>
      <c r="P24" s="268">
        <f t="shared" si="3"/>
        <v>126645</v>
      </c>
      <c r="Q24" s="270">
        <v>0</v>
      </c>
      <c r="R24" s="272" t="s">
        <v>46</v>
      </c>
    </row>
    <row r="25" spans="2:18" ht="27" customHeight="1">
      <c r="B25" s="271">
        <v>46094</v>
      </c>
      <c r="C25" s="269">
        <v>46099</v>
      </c>
      <c r="D25" s="270">
        <v>5</v>
      </c>
      <c r="E25" s="270">
        <f t="shared" si="2"/>
        <v>15</v>
      </c>
      <c r="F25" s="270" t="s">
        <v>119</v>
      </c>
      <c r="G25" s="270" t="s">
        <v>49</v>
      </c>
      <c r="H25" s="270">
        <v>1</v>
      </c>
      <c r="I25" s="270" t="s">
        <v>554</v>
      </c>
      <c r="J25" s="270" t="s">
        <v>366</v>
      </c>
      <c r="K25" s="270">
        <v>3</v>
      </c>
      <c r="L25" s="270">
        <v>0</v>
      </c>
      <c r="M25" s="268">
        <f>126851+6000</f>
        <v>132851</v>
      </c>
      <c r="N25" s="268">
        <v>15942</v>
      </c>
      <c r="O25" s="268">
        <v>3056</v>
      </c>
      <c r="P25" s="268">
        <f t="shared" si="3"/>
        <v>113853</v>
      </c>
      <c r="Q25" s="270">
        <v>0</v>
      </c>
      <c r="R25" s="272" t="s">
        <v>46</v>
      </c>
    </row>
    <row r="26" spans="2:18" ht="27" customHeight="1">
      <c r="B26" s="271">
        <v>46094</v>
      </c>
      <c r="C26" s="269">
        <v>46096</v>
      </c>
      <c r="D26" s="270">
        <v>2</v>
      </c>
      <c r="E26" s="270">
        <f t="shared" si="2"/>
        <v>4</v>
      </c>
      <c r="F26" s="270" t="s">
        <v>119</v>
      </c>
      <c r="G26" s="270" t="s">
        <v>49</v>
      </c>
      <c r="H26" s="270">
        <v>1</v>
      </c>
      <c r="I26" s="270" t="s">
        <v>555</v>
      </c>
      <c r="J26" s="270" t="s">
        <v>67</v>
      </c>
      <c r="K26" s="270">
        <v>2</v>
      </c>
      <c r="L26" s="270">
        <v>0</v>
      </c>
      <c r="M26" s="268">
        <f>37530+6000</f>
        <v>43530</v>
      </c>
      <c r="N26" s="268">
        <v>5224</v>
      </c>
      <c r="O26" s="268">
        <v>1001</v>
      </c>
      <c r="P26" s="268">
        <f t="shared" si="3"/>
        <v>37305</v>
      </c>
      <c r="Q26" s="270">
        <v>0</v>
      </c>
      <c r="R26" s="272" t="s">
        <v>46</v>
      </c>
    </row>
    <row r="27" spans="2:18" ht="27" customHeight="1">
      <c r="B27" s="271">
        <v>46094</v>
      </c>
      <c r="C27" s="269">
        <v>46099</v>
      </c>
      <c r="D27" s="270">
        <v>5</v>
      </c>
      <c r="E27" s="270">
        <f t="shared" si="2"/>
        <v>15</v>
      </c>
      <c r="F27" s="270" t="s">
        <v>119</v>
      </c>
      <c r="G27" s="270" t="s">
        <v>43</v>
      </c>
      <c r="H27" s="270">
        <v>1</v>
      </c>
      <c r="I27" s="270" t="s">
        <v>556</v>
      </c>
      <c r="J27" s="270" t="s">
        <v>557</v>
      </c>
      <c r="K27" s="270">
        <v>3</v>
      </c>
      <c r="L27" s="270">
        <v>0</v>
      </c>
      <c r="M27" s="268">
        <f>181578+6000</f>
        <v>187578</v>
      </c>
      <c r="N27" s="268">
        <v>22509</v>
      </c>
      <c r="O27" s="268">
        <v>4314</v>
      </c>
      <c r="P27" s="268">
        <f t="shared" si="3"/>
        <v>160755</v>
      </c>
      <c r="Q27" s="270">
        <v>0</v>
      </c>
      <c r="R27" s="272" t="s">
        <v>46</v>
      </c>
    </row>
    <row r="28" spans="2:18" ht="27" customHeight="1">
      <c r="B28" s="271">
        <v>46095</v>
      </c>
      <c r="C28" s="269">
        <v>46097</v>
      </c>
      <c r="D28" s="270">
        <v>2</v>
      </c>
      <c r="E28" s="270">
        <f t="shared" si="2"/>
        <v>6</v>
      </c>
      <c r="F28" s="270" t="s">
        <v>119</v>
      </c>
      <c r="G28" s="270" t="s">
        <v>71</v>
      </c>
      <c r="H28" s="270">
        <v>1</v>
      </c>
      <c r="I28" s="270" t="s">
        <v>558</v>
      </c>
      <c r="J28" s="270" t="s">
        <v>67</v>
      </c>
      <c r="K28" s="270">
        <v>3</v>
      </c>
      <c r="L28" s="270">
        <v>0</v>
      </c>
      <c r="M28" s="268">
        <f>38664+6000</f>
        <v>44664</v>
      </c>
      <c r="N28" s="268">
        <v>5360</v>
      </c>
      <c r="O28" s="268">
        <v>1027</v>
      </c>
      <c r="P28" s="268">
        <f t="shared" si="3"/>
        <v>38277</v>
      </c>
      <c r="Q28" s="270">
        <v>0</v>
      </c>
      <c r="R28" s="272" t="s">
        <v>46</v>
      </c>
    </row>
    <row r="29" spans="2:18" ht="27" customHeight="1">
      <c r="B29" s="271">
        <v>46095</v>
      </c>
      <c r="C29" s="269">
        <v>46098</v>
      </c>
      <c r="D29" s="270">
        <v>3</v>
      </c>
      <c r="E29" s="270">
        <f t="shared" si="2"/>
        <v>6</v>
      </c>
      <c r="F29" s="270" t="s">
        <v>119</v>
      </c>
      <c r="G29" s="270" t="s">
        <v>49</v>
      </c>
      <c r="H29" s="270">
        <v>1</v>
      </c>
      <c r="I29" s="270" t="s">
        <v>559</v>
      </c>
      <c r="J29" s="270" t="s">
        <v>45</v>
      </c>
      <c r="K29" s="270">
        <v>2</v>
      </c>
      <c r="L29" s="270">
        <v>0</v>
      </c>
      <c r="M29" s="268">
        <f>56295+6000</f>
        <v>62295</v>
      </c>
      <c r="N29" s="268">
        <v>7475</v>
      </c>
      <c r="O29" s="268">
        <v>1433</v>
      </c>
      <c r="P29" s="268">
        <f t="shared" si="3"/>
        <v>53387</v>
      </c>
      <c r="Q29" s="270">
        <v>0</v>
      </c>
      <c r="R29" s="272" t="s">
        <v>46</v>
      </c>
    </row>
    <row r="30" spans="2:18" ht="27" customHeight="1">
      <c r="B30" s="271">
        <v>46096</v>
      </c>
      <c r="C30" s="269">
        <v>46100</v>
      </c>
      <c r="D30" s="270">
        <v>4</v>
      </c>
      <c r="E30" s="270">
        <f t="shared" si="2"/>
        <v>12</v>
      </c>
      <c r="F30" s="270" t="s">
        <v>119</v>
      </c>
      <c r="G30" s="270" t="s">
        <v>54</v>
      </c>
      <c r="H30" s="270">
        <v>1</v>
      </c>
      <c r="I30" s="270" t="s">
        <v>560</v>
      </c>
      <c r="J30" s="270" t="s">
        <v>45</v>
      </c>
      <c r="K30" s="270">
        <v>3</v>
      </c>
      <c r="L30" s="270">
        <v>0</v>
      </c>
      <c r="M30" s="268">
        <f>107060+6000</f>
        <v>113060</v>
      </c>
      <c r="N30" s="268">
        <v>13567</v>
      </c>
      <c r="O30" s="268">
        <v>2600</v>
      </c>
      <c r="P30" s="268">
        <f t="shared" si="3"/>
        <v>96893</v>
      </c>
      <c r="Q30" s="270">
        <v>0</v>
      </c>
      <c r="R30" s="272" t="s">
        <v>46</v>
      </c>
    </row>
    <row r="31" spans="2:18" ht="27" customHeight="1">
      <c r="B31" s="271">
        <v>46098</v>
      </c>
      <c r="C31" s="269">
        <v>46103</v>
      </c>
      <c r="D31" s="270">
        <v>5</v>
      </c>
      <c r="E31" s="270">
        <f t="shared" si="2"/>
        <v>10</v>
      </c>
      <c r="F31" s="270" t="s">
        <v>119</v>
      </c>
      <c r="G31" s="270" t="s">
        <v>49</v>
      </c>
      <c r="H31" s="270">
        <v>1</v>
      </c>
      <c r="I31" s="270" t="s">
        <v>561</v>
      </c>
      <c r="J31" s="270" t="s">
        <v>375</v>
      </c>
      <c r="K31" s="270">
        <v>2</v>
      </c>
      <c r="L31" s="270">
        <v>0</v>
      </c>
      <c r="M31" s="268">
        <f>138861+6000</f>
        <v>144861</v>
      </c>
      <c r="N31" s="268">
        <v>17383</v>
      </c>
      <c r="O31" s="268">
        <v>3332</v>
      </c>
      <c r="P31" s="268">
        <f t="shared" si="3"/>
        <v>124146</v>
      </c>
      <c r="Q31" s="270">
        <v>0</v>
      </c>
      <c r="R31" s="272" t="s">
        <v>46</v>
      </c>
    </row>
    <row r="32" spans="2:18" ht="27" customHeight="1">
      <c r="B32" s="271">
        <v>46098</v>
      </c>
      <c r="C32" s="269">
        <v>46103</v>
      </c>
      <c r="D32" s="270">
        <v>5</v>
      </c>
      <c r="E32" s="270">
        <f t="shared" si="2"/>
        <v>15</v>
      </c>
      <c r="F32" s="270" t="s">
        <v>119</v>
      </c>
      <c r="G32" s="270" t="s">
        <v>49</v>
      </c>
      <c r="H32" s="270">
        <v>1</v>
      </c>
      <c r="I32" s="270" t="s">
        <v>562</v>
      </c>
      <c r="J32" s="270" t="s">
        <v>545</v>
      </c>
      <c r="K32" s="270">
        <v>2</v>
      </c>
      <c r="L32" s="270">
        <v>1</v>
      </c>
      <c r="M32" s="268">
        <f>162630+6000</f>
        <v>168630</v>
      </c>
      <c r="N32" s="268">
        <v>20236</v>
      </c>
      <c r="O32" s="268">
        <v>3878</v>
      </c>
      <c r="P32" s="268">
        <f t="shared" si="3"/>
        <v>144516</v>
      </c>
      <c r="Q32" s="270">
        <v>0</v>
      </c>
      <c r="R32" s="272" t="s">
        <v>46</v>
      </c>
    </row>
    <row r="33" spans="2:18" ht="27" customHeight="1">
      <c r="B33" s="271">
        <v>46099</v>
      </c>
      <c r="C33" s="269">
        <v>46102</v>
      </c>
      <c r="D33" s="270">
        <v>3</v>
      </c>
      <c r="E33" s="270">
        <f t="shared" si="2"/>
        <v>9</v>
      </c>
      <c r="F33" s="270" t="s">
        <v>119</v>
      </c>
      <c r="G33" s="270" t="s">
        <v>43</v>
      </c>
      <c r="H33" s="270">
        <v>1</v>
      </c>
      <c r="I33" s="270" t="s">
        <v>563</v>
      </c>
      <c r="J33" s="270" t="s">
        <v>366</v>
      </c>
      <c r="K33" s="270">
        <v>2</v>
      </c>
      <c r="L33" s="270">
        <v>1</v>
      </c>
      <c r="M33" s="268">
        <f>62856+6000</f>
        <v>68856</v>
      </c>
      <c r="N33" s="268">
        <v>8263</v>
      </c>
      <c r="O33" s="268">
        <v>1584</v>
      </c>
      <c r="P33" s="268">
        <f t="shared" si="3"/>
        <v>59009</v>
      </c>
      <c r="Q33" s="270">
        <v>0</v>
      </c>
      <c r="R33" s="272" t="s">
        <v>46</v>
      </c>
    </row>
    <row r="34" spans="2:18" ht="27" customHeight="1">
      <c r="B34" s="271">
        <v>46099</v>
      </c>
      <c r="C34" s="269">
        <v>46102</v>
      </c>
      <c r="D34" s="270">
        <v>3</v>
      </c>
      <c r="E34" s="270">
        <f t="shared" si="2"/>
        <v>12</v>
      </c>
      <c r="F34" s="270" t="s">
        <v>119</v>
      </c>
      <c r="G34" s="270" t="s">
        <v>71</v>
      </c>
      <c r="H34" s="270">
        <v>1</v>
      </c>
      <c r="I34" s="270" t="s">
        <v>564</v>
      </c>
      <c r="J34" s="270" t="s">
        <v>375</v>
      </c>
      <c r="K34" s="270">
        <v>2</v>
      </c>
      <c r="L34" s="270">
        <v>2</v>
      </c>
      <c r="M34" s="268">
        <f>138226+6000</f>
        <v>144226</v>
      </c>
      <c r="N34" s="268">
        <v>17307</v>
      </c>
      <c r="O34" s="268">
        <v>3317</v>
      </c>
      <c r="P34" s="268">
        <f t="shared" si="3"/>
        <v>123602</v>
      </c>
      <c r="Q34" s="270">
        <v>0</v>
      </c>
      <c r="R34" s="272" t="s">
        <v>46</v>
      </c>
    </row>
    <row r="35" spans="2:18" ht="27" customHeight="1">
      <c r="B35" s="271">
        <v>46100</v>
      </c>
      <c r="C35" s="269">
        <v>46104</v>
      </c>
      <c r="D35" s="270">
        <v>4</v>
      </c>
      <c r="E35" s="270">
        <f t="shared" si="2"/>
        <v>12</v>
      </c>
      <c r="F35" s="270" t="s">
        <v>119</v>
      </c>
      <c r="G35" s="270" t="s">
        <v>54</v>
      </c>
      <c r="H35" s="270">
        <v>1</v>
      </c>
      <c r="I35" s="270" t="s">
        <v>565</v>
      </c>
      <c r="J35" s="270" t="s">
        <v>340</v>
      </c>
      <c r="K35" s="270">
        <v>2</v>
      </c>
      <c r="L35" s="270">
        <v>1</v>
      </c>
      <c r="M35" s="268">
        <f>137250+6000</f>
        <v>143250</v>
      </c>
      <c r="N35" s="268">
        <v>17190</v>
      </c>
      <c r="O35" s="268">
        <v>3295</v>
      </c>
      <c r="P35" s="268">
        <f t="shared" si="3"/>
        <v>122765</v>
      </c>
      <c r="Q35" s="270">
        <v>0</v>
      </c>
      <c r="R35" s="272" t="s">
        <v>46</v>
      </c>
    </row>
    <row r="36" spans="2:18" ht="27" customHeight="1">
      <c r="B36" s="271">
        <v>46100</v>
      </c>
      <c r="C36" s="269">
        <v>46104</v>
      </c>
      <c r="D36" s="270">
        <v>4</v>
      </c>
      <c r="E36" s="270">
        <f t="shared" si="2"/>
        <v>8</v>
      </c>
      <c r="F36" s="270" t="s">
        <v>119</v>
      </c>
      <c r="G36" s="270" t="s">
        <v>49</v>
      </c>
      <c r="H36" s="270">
        <v>1</v>
      </c>
      <c r="I36" s="270" t="s">
        <v>566</v>
      </c>
      <c r="J36" s="270" t="s">
        <v>366</v>
      </c>
      <c r="K36" s="270">
        <v>2</v>
      </c>
      <c r="L36" s="270">
        <v>0</v>
      </c>
      <c r="M36" s="268">
        <f>130104+6000</f>
        <v>136104</v>
      </c>
      <c r="N36" s="268">
        <v>16332</v>
      </c>
      <c r="O36" s="268">
        <v>3130</v>
      </c>
      <c r="P36" s="268">
        <f t="shared" si="3"/>
        <v>116642</v>
      </c>
      <c r="Q36" s="270">
        <v>0</v>
      </c>
      <c r="R36" s="272" t="s">
        <v>46</v>
      </c>
    </row>
    <row r="37" spans="2:18" ht="27" customHeight="1">
      <c r="B37" s="271">
        <v>46101</v>
      </c>
      <c r="C37" s="269">
        <v>46102</v>
      </c>
      <c r="D37" s="270">
        <v>1</v>
      </c>
      <c r="E37" s="270">
        <f t="shared" si="2"/>
        <v>3</v>
      </c>
      <c r="F37" s="270" t="s">
        <v>119</v>
      </c>
      <c r="G37" s="270" t="s">
        <v>56</v>
      </c>
      <c r="H37" s="270">
        <v>1</v>
      </c>
      <c r="I37" s="270" t="s">
        <v>567</v>
      </c>
      <c r="J37" s="270" t="s">
        <v>536</v>
      </c>
      <c r="K37" s="270">
        <v>3</v>
      </c>
      <c r="L37" s="270">
        <v>0</v>
      </c>
      <c r="M37" s="268">
        <f>31500+6000</f>
        <v>37500</v>
      </c>
      <c r="N37" s="268">
        <v>4500</v>
      </c>
      <c r="O37" s="268">
        <v>862</v>
      </c>
      <c r="P37" s="268">
        <f t="shared" si="3"/>
        <v>32138</v>
      </c>
      <c r="Q37" s="270">
        <v>0</v>
      </c>
      <c r="R37" s="272" t="s">
        <v>46</v>
      </c>
    </row>
    <row r="38" spans="2:18" ht="27" customHeight="1">
      <c r="B38" s="271">
        <v>46101</v>
      </c>
      <c r="C38" s="269">
        <v>46105</v>
      </c>
      <c r="D38" s="270">
        <v>4</v>
      </c>
      <c r="E38" s="270">
        <f t="shared" si="2"/>
        <v>8</v>
      </c>
      <c r="F38" s="270" t="s">
        <v>119</v>
      </c>
      <c r="G38" s="270" t="s">
        <v>54</v>
      </c>
      <c r="H38" s="270">
        <v>1</v>
      </c>
      <c r="I38" s="270" t="s">
        <v>568</v>
      </c>
      <c r="J38" s="270" t="s">
        <v>569</v>
      </c>
      <c r="K38" s="270">
        <v>2</v>
      </c>
      <c r="L38" s="270">
        <v>0</v>
      </c>
      <c r="M38" s="268">
        <f>142740+6000</f>
        <v>148740</v>
      </c>
      <c r="N38" s="268">
        <v>17849</v>
      </c>
      <c r="O38" s="268">
        <v>3421</v>
      </c>
      <c r="P38" s="268">
        <f t="shared" si="3"/>
        <v>127470</v>
      </c>
      <c r="Q38" s="270">
        <v>0</v>
      </c>
      <c r="R38" s="272" t="s">
        <v>46</v>
      </c>
    </row>
    <row r="39" spans="2:18" ht="27" customHeight="1">
      <c r="B39" s="271">
        <v>46102</v>
      </c>
      <c r="C39" s="269">
        <v>46106</v>
      </c>
      <c r="D39" s="270">
        <v>4</v>
      </c>
      <c r="E39" s="270">
        <f t="shared" si="2"/>
        <v>16</v>
      </c>
      <c r="F39" s="270" t="s">
        <v>119</v>
      </c>
      <c r="G39" s="270" t="s">
        <v>56</v>
      </c>
      <c r="H39" s="270">
        <v>1</v>
      </c>
      <c r="I39" s="270" t="s">
        <v>570</v>
      </c>
      <c r="J39" s="270" t="s">
        <v>536</v>
      </c>
      <c r="K39" s="270">
        <v>4</v>
      </c>
      <c r="L39" s="270">
        <v>0</v>
      </c>
      <c r="M39" s="268">
        <f>81000+6000</f>
        <v>87000</v>
      </c>
      <c r="N39" s="268">
        <v>13050</v>
      </c>
      <c r="O39" s="268">
        <v>2001</v>
      </c>
      <c r="P39" s="268">
        <f t="shared" si="3"/>
        <v>71949</v>
      </c>
      <c r="Q39" s="270">
        <v>0</v>
      </c>
      <c r="R39" s="272" t="s">
        <v>46</v>
      </c>
    </row>
    <row r="40" spans="2:18" ht="27" customHeight="1">
      <c r="B40" s="271">
        <v>46102</v>
      </c>
      <c r="C40" s="269">
        <v>46104</v>
      </c>
      <c r="D40" s="270">
        <v>2</v>
      </c>
      <c r="E40" s="270">
        <f t="shared" si="2"/>
        <v>6</v>
      </c>
      <c r="F40" s="270" t="s">
        <v>119</v>
      </c>
      <c r="G40" s="270" t="s">
        <v>43</v>
      </c>
      <c r="H40" s="270">
        <v>1</v>
      </c>
      <c r="I40" s="270" t="s">
        <v>571</v>
      </c>
      <c r="J40" s="270" t="s">
        <v>536</v>
      </c>
      <c r="K40" s="270">
        <v>3</v>
      </c>
      <c r="L40" s="270">
        <v>0</v>
      </c>
      <c r="M40" s="268">
        <f>76820+6000</f>
        <v>82820</v>
      </c>
      <c r="N40" s="268">
        <v>9938</v>
      </c>
      <c r="O40" s="268">
        <v>1905</v>
      </c>
      <c r="P40" s="268">
        <f t="shared" si="3"/>
        <v>70977</v>
      </c>
      <c r="Q40" s="270">
        <v>0</v>
      </c>
      <c r="R40" s="272" t="s">
        <v>46</v>
      </c>
    </row>
    <row r="41" spans="2:18" ht="27" customHeight="1">
      <c r="B41" s="271">
        <v>46103</v>
      </c>
      <c r="C41" s="269">
        <v>46107</v>
      </c>
      <c r="D41" s="270">
        <v>4</v>
      </c>
      <c r="E41" s="270">
        <f t="shared" si="2"/>
        <v>8</v>
      </c>
      <c r="F41" s="270" t="s">
        <v>119</v>
      </c>
      <c r="G41" s="270" t="s">
        <v>49</v>
      </c>
      <c r="H41" s="270">
        <v>1</v>
      </c>
      <c r="I41" s="270" t="s">
        <v>572</v>
      </c>
      <c r="J41" s="270" t="s">
        <v>573</v>
      </c>
      <c r="K41" s="270">
        <v>2</v>
      </c>
      <c r="L41" s="270">
        <v>0</v>
      </c>
      <c r="M41" s="268">
        <f>100080+6000</f>
        <v>106080</v>
      </c>
      <c r="N41" s="268">
        <v>12730</v>
      </c>
      <c r="O41" s="268">
        <v>2440</v>
      </c>
      <c r="P41" s="268">
        <f t="shared" si="3"/>
        <v>90910</v>
      </c>
      <c r="Q41" s="270">
        <v>0</v>
      </c>
      <c r="R41" s="272" t="s">
        <v>46</v>
      </c>
    </row>
    <row r="42" spans="2:18" ht="27" customHeight="1">
      <c r="B42" s="271">
        <v>46104</v>
      </c>
      <c r="C42" s="269">
        <v>46107</v>
      </c>
      <c r="D42" s="270">
        <v>3</v>
      </c>
      <c r="E42" s="270">
        <f t="shared" si="2"/>
        <v>6</v>
      </c>
      <c r="F42" s="270" t="s">
        <v>119</v>
      </c>
      <c r="G42" s="270" t="s">
        <v>43</v>
      </c>
      <c r="H42" s="270">
        <v>1</v>
      </c>
      <c r="I42" s="270" t="s">
        <v>574</v>
      </c>
      <c r="J42" s="270" t="s">
        <v>536</v>
      </c>
      <c r="K42" s="270">
        <v>1</v>
      </c>
      <c r="L42" s="270">
        <v>1</v>
      </c>
      <c r="M42" s="268">
        <f>97778+6000</f>
        <v>103778</v>
      </c>
      <c r="N42" s="268">
        <v>12453</v>
      </c>
      <c r="O42" s="268">
        <v>2387</v>
      </c>
      <c r="P42" s="268">
        <f t="shared" si="3"/>
        <v>88938</v>
      </c>
      <c r="Q42" s="270">
        <v>0</v>
      </c>
      <c r="R42" s="272" t="s">
        <v>46</v>
      </c>
    </row>
    <row r="43" spans="2:18" ht="27" customHeight="1">
      <c r="B43" s="271">
        <v>46104</v>
      </c>
      <c r="C43" s="269">
        <v>46108</v>
      </c>
      <c r="D43" s="270">
        <v>4</v>
      </c>
      <c r="E43" s="270">
        <f t="shared" si="2"/>
        <v>12</v>
      </c>
      <c r="F43" s="270" t="s">
        <v>119</v>
      </c>
      <c r="G43" s="270" t="s">
        <v>54</v>
      </c>
      <c r="H43" s="270">
        <v>1</v>
      </c>
      <c r="I43" s="270" t="s">
        <v>575</v>
      </c>
      <c r="J43" s="270" t="s">
        <v>340</v>
      </c>
      <c r="K43" s="270">
        <v>2</v>
      </c>
      <c r="L43" s="270">
        <v>1</v>
      </c>
      <c r="M43" s="268">
        <f>123525+6000</f>
        <v>129525</v>
      </c>
      <c r="N43" s="268">
        <v>15543</v>
      </c>
      <c r="O43" s="268">
        <v>2979</v>
      </c>
      <c r="P43" s="268">
        <f t="shared" si="3"/>
        <v>111003</v>
      </c>
      <c r="Q43" s="270">
        <v>0</v>
      </c>
      <c r="R43" s="272" t="s">
        <v>46</v>
      </c>
    </row>
    <row r="44" spans="2:18" ht="27" customHeight="1">
      <c r="B44" s="271">
        <v>46104</v>
      </c>
      <c r="C44" s="269">
        <v>46107</v>
      </c>
      <c r="D44" s="270">
        <v>3</v>
      </c>
      <c r="E44" s="270">
        <f t="shared" si="2"/>
        <v>12</v>
      </c>
      <c r="F44" s="270" t="s">
        <v>119</v>
      </c>
      <c r="G44" s="270" t="s">
        <v>71</v>
      </c>
      <c r="H44" s="270">
        <v>1</v>
      </c>
      <c r="I44" s="270" t="s">
        <v>576</v>
      </c>
      <c r="J44" s="270" t="s">
        <v>375</v>
      </c>
      <c r="K44" s="270">
        <v>2</v>
      </c>
      <c r="L44" s="270">
        <v>2</v>
      </c>
      <c r="M44" s="268">
        <f>125666+6000</f>
        <v>131666</v>
      </c>
      <c r="N44" s="268">
        <v>15800</v>
      </c>
      <c r="O44" s="268">
        <v>3028</v>
      </c>
      <c r="P44" s="268">
        <f t="shared" si="3"/>
        <v>112838</v>
      </c>
      <c r="Q44" s="270">
        <v>0</v>
      </c>
      <c r="R44" s="272" t="s">
        <v>46</v>
      </c>
    </row>
    <row r="45" spans="2:18" ht="27" customHeight="1">
      <c r="B45" s="271">
        <v>46105</v>
      </c>
      <c r="C45" s="269">
        <v>46108</v>
      </c>
      <c r="D45" s="270">
        <v>3</v>
      </c>
      <c r="E45" s="270">
        <f t="shared" si="2"/>
        <v>9</v>
      </c>
      <c r="F45" s="270" t="s">
        <v>119</v>
      </c>
      <c r="G45" s="270" t="s">
        <v>54</v>
      </c>
      <c r="H45" s="270">
        <v>1</v>
      </c>
      <c r="I45" s="270" t="s">
        <v>577</v>
      </c>
      <c r="J45" s="270" t="s">
        <v>366</v>
      </c>
      <c r="K45" s="270">
        <v>2</v>
      </c>
      <c r="L45" s="270">
        <v>1</v>
      </c>
      <c r="M45" s="268">
        <f>73156+6000</f>
        <v>79156</v>
      </c>
      <c r="N45" s="268">
        <v>11873</v>
      </c>
      <c r="O45" s="268">
        <v>1821</v>
      </c>
      <c r="P45" s="268">
        <f t="shared" si="3"/>
        <v>65462</v>
      </c>
      <c r="Q45" s="270">
        <v>0</v>
      </c>
      <c r="R45" s="272" t="s">
        <v>46</v>
      </c>
    </row>
    <row r="46" spans="2:18" ht="27" customHeight="1">
      <c r="B46" s="271">
        <v>46105</v>
      </c>
      <c r="C46" s="269">
        <v>46108</v>
      </c>
      <c r="D46" s="270">
        <v>3</v>
      </c>
      <c r="E46" s="270">
        <f t="shared" si="2"/>
        <v>9</v>
      </c>
      <c r="F46" s="270" t="s">
        <v>119</v>
      </c>
      <c r="G46" s="270" t="s">
        <v>49</v>
      </c>
      <c r="H46" s="270">
        <v>1</v>
      </c>
      <c r="I46" s="270" t="s">
        <v>578</v>
      </c>
      <c r="J46" s="270" t="s">
        <v>573</v>
      </c>
      <c r="K46" s="270">
        <v>2</v>
      </c>
      <c r="L46" s="270">
        <v>1</v>
      </c>
      <c r="M46" s="268">
        <f>102582+6000</f>
        <v>108582</v>
      </c>
      <c r="N46" s="268">
        <v>13030</v>
      </c>
      <c r="O46" s="268">
        <v>2497</v>
      </c>
      <c r="P46" s="268">
        <f t="shared" si="3"/>
        <v>93055</v>
      </c>
      <c r="Q46" s="270">
        <v>0</v>
      </c>
      <c r="R46" s="272" t="s">
        <v>46</v>
      </c>
    </row>
    <row r="47" spans="2:18" ht="27" customHeight="1">
      <c r="B47" s="271">
        <v>46108</v>
      </c>
      <c r="C47" s="269">
        <v>46110</v>
      </c>
      <c r="D47" s="270">
        <v>2</v>
      </c>
      <c r="E47" s="270">
        <f t="shared" si="2"/>
        <v>4</v>
      </c>
      <c r="F47" s="270" t="s">
        <v>119</v>
      </c>
      <c r="G47" s="270" t="s">
        <v>54</v>
      </c>
      <c r="H47" s="270">
        <v>1</v>
      </c>
      <c r="I47" s="270" t="s">
        <v>579</v>
      </c>
      <c r="J47" s="270" t="s">
        <v>67</v>
      </c>
      <c r="K47" s="270">
        <v>1</v>
      </c>
      <c r="L47" s="270">
        <v>1</v>
      </c>
      <c r="M47" s="268">
        <f>32940+6000</f>
        <v>38940</v>
      </c>
      <c r="N47" s="268">
        <v>5841</v>
      </c>
      <c r="O47" s="268">
        <v>896</v>
      </c>
      <c r="P47" s="268">
        <f t="shared" si="3"/>
        <v>32203</v>
      </c>
      <c r="Q47" s="270">
        <v>0</v>
      </c>
      <c r="R47" s="272" t="s">
        <v>46</v>
      </c>
    </row>
    <row r="48" spans="2:18" ht="27" customHeight="1">
      <c r="B48" s="271">
        <v>46079</v>
      </c>
      <c r="C48" s="269">
        <v>46082</v>
      </c>
      <c r="D48" s="270">
        <v>3</v>
      </c>
      <c r="E48" s="270">
        <f t="shared" si="2"/>
        <v>12</v>
      </c>
      <c r="F48" s="270" t="s">
        <v>96</v>
      </c>
      <c r="G48" s="270" t="s">
        <v>71</v>
      </c>
      <c r="H48" s="270">
        <v>1</v>
      </c>
      <c r="I48" s="270" t="s">
        <v>603</v>
      </c>
      <c r="J48" s="270" t="s">
        <v>57</v>
      </c>
      <c r="K48" s="270">
        <v>4</v>
      </c>
      <c r="L48" s="270">
        <v>0</v>
      </c>
      <c r="M48" s="268">
        <v>113500</v>
      </c>
      <c r="N48" s="268">
        <v>17593</v>
      </c>
      <c r="O48" s="268"/>
      <c r="P48" s="268">
        <f t="shared" si="3"/>
        <v>95907</v>
      </c>
      <c r="Q48" s="270">
        <v>0</v>
      </c>
      <c r="R48" s="272" t="s">
        <v>46</v>
      </c>
    </row>
    <row r="49" spans="2:18" ht="27" customHeight="1">
      <c r="B49" s="271">
        <v>46080</v>
      </c>
      <c r="C49" s="269">
        <v>46088</v>
      </c>
      <c r="D49" s="270">
        <v>8</v>
      </c>
      <c r="E49" s="270">
        <f t="shared" si="2"/>
        <v>32</v>
      </c>
      <c r="F49" s="270" t="s">
        <v>96</v>
      </c>
      <c r="G49" s="270" t="s">
        <v>56</v>
      </c>
      <c r="H49" s="270">
        <v>1</v>
      </c>
      <c r="I49" s="270" t="s">
        <v>580</v>
      </c>
      <c r="J49" s="270" t="s">
        <v>409</v>
      </c>
      <c r="K49" s="270">
        <v>4</v>
      </c>
      <c r="L49" s="270">
        <v>0</v>
      </c>
      <c r="M49" s="268">
        <v>286450</v>
      </c>
      <c r="N49" s="268">
        <v>44400</v>
      </c>
      <c r="O49" s="268"/>
      <c r="P49" s="268">
        <f t="shared" si="3"/>
        <v>242050</v>
      </c>
      <c r="Q49" s="270">
        <v>0</v>
      </c>
      <c r="R49" s="272" t="s">
        <v>46</v>
      </c>
    </row>
    <row r="50" spans="2:18" ht="27" customHeight="1">
      <c r="B50" s="271">
        <v>46080</v>
      </c>
      <c r="C50" s="269">
        <v>46084</v>
      </c>
      <c r="D50" s="270">
        <v>4</v>
      </c>
      <c r="E50" s="270">
        <f t="shared" si="2"/>
        <v>12</v>
      </c>
      <c r="F50" s="270" t="s">
        <v>96</v>
      </c>
      <c r="G50" s="270" t="s">
        <v>49</v>
      </c>
      <c r="H50" s="270">
        <v>1</v>
      </c>
      <c r="I50" s="270" t="s">
        <v>581</v>
      </c>
      <c r="J50" s="270" t="s">
        <v>366</v>
      </c>
      <c r="K50" s="270">
        <v>3</v>
      </c>
      <c r="L50" s="270">
        <v>0</v>
      </c>
      <c r="M50" s="268">
        <v>103300</v>
      </c>
      <c r="N50" s="268">
        <v>16012</v>
      </c>
      <c r="O50" s="268"/>
      <c r="P50" s="268">
        <f t="shared" si="3"/>
        <v>87288</v>
      </c>
      <c r="Q50" s="270">
        <v>0</v>
      </c>
      <c r="R50" s="272" t="s">
        <v>46</v>
      </c>
    </row>
    <row r="51" spans="2:18" ht="27" customHeight="1">
      <c r="B51" s="271">
        <v>46087</v>
      </c>
      <c r="C51" s="269">
        <v>46094</v>
      </c>
      <c r="D51" s="270">
        <v>7</v>
      </c>
      <c r="E51" s="270">
        <f t="shared" si="2"/>
        <v>14</v>
      </c>
      <c r="F51" s="270" t="s">
        <v>96</v>
      </c>
      <c r="G51" s="270" t="s">
        <v>49</v>
      </c>
      <c r="H51" s="270">
        <v>1</v>
      </c>
      <c r="I51" s="270" t="s">
        <v>582</v>
      </c>
      <c r="J51" s="270" t="s">
        <v>409</v>
      </c>
      <c r="K51" s="270">
        <v>2</v>
      </c>
      <c r="L51" s="270">
        <v>0</v>
      </c>
      <c r="M51" s="268">
        <v>122760</v>
      </c>
      <c r="N51" s="268">
        <v>19028</v>
      </c>
      <c r="O51" s="268"/>
      <c r="P51" s="268">
        <f t="shared" si="3"/>
        <v>103732</v>
      </c>
      <c r="Q51" s="270">
        <v>0</v>
      </c>
      <c r="R51" s="272" t="s">
        <v>46</v>
      </c>
    </row>
    <row r="52" spans="2:18" ht="27" customHeight="1">
      <c r="B52" s="271">
        <v>46097</v>
      </c>
      <c r="C52" s="269">
        <v>46101</v>
      </c>
      <c r="D52" s="270">
        <v>4</v>
      </c>
      <c r="E52" s="270">
        <f t="shared" si="2"/>
        <v>12</v>
      </c>
      <c r="F52" s="270" t="s">
        <v>96</v>
      </c>
      <c r="G52" s="270" t="s">
        <v>56</v>
      </c>
      <c r="H52" s="270">
        <v>1</v>
      </c>
      <c r="I52" s="270" t="s">
        <v>583</v>
      </c>
      <c r="J52" s="270" t="s">
        <v>549</v>
      </c>
      <c r="K52" s="270">
        <v>3</v>
      </c>
      <c r="L52" s="270">
        <v>0</v>
      </c>
      <c r="M52" s="268">
        <v>106000</v>
      </c>
      <c r="N52" s="268">
        <v>16430</v>
      </c>
      <c r="O52" s="268"/>
      <c r="P52" s="268">
        <f t="shared" si="3"/>
        <v>89570</v>
      </c>
      <c r="Q52" s="270">
        <v>0</v>
      </c>
      <c r="R52" s="272" t="s">
        <v>46</v>
      </c>
    </row>
    <row r="53" spans="2:18" ht="27" customHeight="1">
      <c r="B53" s="271">
        <v>46097</v>
      </c>
      <c r="C53" s="269">
        <v>46104</v>
      </c>
      <c r="D53" s="270">
        <v>7</v>
      </c>
      <c r="E53" s="270">
        <f t="shared" si="2"/>
        <v>28</v>
      </c>
      <c r="F53" s="270" t="s">
        <v>96</v>
      </c>
      <c r="G53" s="270" t="s">
        <v>71</v>
      </c>
      <c r="H53" s="270">
        <v>1</v>
      </c>
      <c r="I53" s="270" t="s">
        <v>584</v>
      </c>
      <c r="J53" s="270" t="s">
        <v>375</v>
      </c>
      <c r="K53" s="270">
        <v>4</v>
      </c>
      <c r="L53" s="270">
        <v>0</v>
      </c>
      <c r="M53" s="268">
        <v>244005</v>
      </c>
      <c r="N53" s="268">
        <v>37821</v>
      </c>
      <c r="O53" s="268"/>
      <c r="P53" s="268">
        <f t="shared" si="3"/>
        <v>206184</v>
      </c>
      <c r="Q53" s="270">
        <v>0</v>
      </c>
      <c r="R53" s="272" t="s">
        <v>46</v>
      </c>
    </row>
    <row r="54" spans="2:18" ht="27" customHeight="1">
      <c r="B54" s="271">
        <v>46102</v>
      </c>
      <c r="C54" s="269">
        <v>46111</v>
      </c>
      <c r="D54" s="270">
        <v>9</v>
      </c>
      <c r="E54" s="270">
        <f t="shared" si="2"/>
        <v>27</v>
      </c>
      <c r="F54" s="270" t="s">
        <v>96</v>
      </c>
      <c r="G54" s="270" t="s">
        <v>71</v>
      </c>
      <c r="H54" s="270">
        <v>1</v>
      </c>
      <c r="I54" s="270" t="s">
        <v>585</v>
      </c>
      <c r="J54" s="270" t="s">
        <v>340</v>
      </c>
      <c r="K54" s="270">
        <v>3</v>
      </c>
      <c r="L54" s="270">
        <v>0</v>
      </c>
      <c r="M54" s="268">
        <v>304035</v>
      </c>
      <c r="N54" s="268">
        <v>47125</v>
      </c>
      <c r="O54" s="268"/>
      <c r="P54" s="268">
        <f t="shared" si="3"/>
        <v>256910</v>
      </c>
      <c r="Q54" s="270">
        <v>0</v>
      </c>
      <c r="R54" s="272" t="s">
        <v>46</v>
      </c>
    </row>
    <row r="55" spans="2:18" ht="27" customHeight="1">
      <c r="B55" s="271">
        <v>46106</v>
      </c>
      <c r="C55" s="269">
        <v>46110</v>
      </c>
      <c r="D55" s="270">
        <v>4</v>
      </c>
      <c r="E55" s="270">
        <f t="shared" si="2"/>
        <v>16</v>
      </c>
      <c r="F55" s="270" t="s">
        <v>96</v>
      </c>
      <c r="G55" s="270" t="s">
        <v>56</v>
      </c>
      <c r="H55" s="270">
        <v>1</v>
      </c>
      <c r="I55" s="270" t="s">
        <v>586</v>
      </c>
      <c r="J55" s="270" t="s">
        <v>549</v>
      </c>
      <c r="K55" s="270">
        <v>4</v>
      </c>
      <c r="L55" s="270">
        <v>0</v>
      </c>
      <c r="M55" s="268">
        <v>126000</v>
      </c>
      <c r="N55" s="268">
        <v>19530</v>
      </c>
      <c r="O55" s="268"/>
      <c r="P55" s="268">
        <f t="shared" si="3"/>
        <v>106470</v>
      </c>
      <c r="Q55" s="270">
        <v>0</v>
      </c>
      <c r="R55" s="272" t="s">
        <v>46</v>
      </c>
    </row>
    <row r="56" spans="2:18" ht="27" customHeight="1">
      <c r="B56" s="271">
        <v>46108</v>
      </c>
      <c r="C56" s="269">
        <v>46111</v>
      </c>
      <c r="D56" s="270">
        <v>3</v>
      </c>
      <c r="E56" s="270">
        <f t="shared" si="2"/>
        <v>9</v>
      </c>
      <c r="F56" s="270" t="s">
        <v>96</v>
      </c>
      <c r="G56" s="270" t="s">
        <v>49</v>
      </c>
      <c r="H56" s="270">
        <v>1</v>
      </c>
      <c r="I56" s="270" t="s">
        <v>587</v>
      </c>
      <c r="J56" s="270" t="s">
        <v>588</v>
      </c>
      <c r="K56" s="270">
        <v>3</v>
      </c>
      <c r="L56" s="270">
        <v>0</v>
      </c>
      <c r="M56" s="268">
        <v>149100</v>
      </c>
      <c r="N56" s="268">
        <v>23111</v>
      </c>
      <c r="O56" s="268"/>
      <c r="P56" s="268">
        <f t="shared" si="3"/>
        <v>125989</v>
      </c>
      <c r="Q56" s="270">
        <v>0</v>
      </c>
      <c r="R56" s="272" t="s">
        <v>46</v>
      </c>
    </row>
    <row r="57" spans="2:18" ht="27" customHeight="1">
      <c r="B57" s="271">
        <v>46078</v>
      </c>
      <c r="C57" s="269">
        <v>46082</v>
      </c>
      <c r="D57" s="270">
        <v>4</v>
      </c>
      <c r="E57" s="270">
        <f t="shared" si="2"/>
        <v>16</v>
      </c>
      <c r="F57" s="270" t="s">
        <v>132</v>
      </c>
      <c r="G57" s="270" t="s">
        <v>43</v>
      </c>
      <c r="H57" s="270">
        <v>1</v>
      </c>
      <c r="I57" s="270" t="s">
        <v>589</v>
      </c>
      <c r="J57" s="270" t="s">
        <v>57</v>
      </c>
      <c r="K57" s="270">
        <v>4</v>
      </c>
      <c r="L57" s="270">
        <v>0</v>
      </c>
      <c r="M57" s="268">
        <v>119036</v>
      </c>
      <c r="N57" s="268">
        <v>20240</v>
      </c>
      <c r="O57" s="268"/>
      <c r="P57" s="268">
        <f t="shared" si="3"/>
        <v>98796</v>
      </c>
      <c r="Q57" s="270">
        <v>0</v>
      </c>
      <c r="R57" s="272" t="s">
        <v>46</v>
      </c>
    </row>
    <row r="58" spans="2:18" ht="27" customHeight="1">
      <c r="B58" s="271">
        <v>46085</v>
      </c>
      <c r="C58" s="269">
        <v>46087</v>
      </c>
      <c r="D58" s="270">
        <v>2</v>
      </c>
      <c r="E58" s="270">
        <f t="shared" si="2"/>
        <v>2</v>
      </c>
      <c r="F58" s="270" t="s">
        <v>132</v>
      </c>
      <c r="G58" s="270" t="s">
        <v>54</v>
      </c>
      <c r="H58" s="270">
        <v>1</v>
      </c>
      <c r="I58" s="270" t="s">
        <v>590</v>
      </c>
      <c r="J58" s="270" t="s">
        <v>366</v>
      </c>
      <c r="K58" s="270">
        <v>1</v>
      </c>
      <c r="L58" s="270">
        <v>0</v>
      </c>
      <c r="M58" s="268">
        <v>34050</v>
      </c>
      <c r="N58" s="268">
        <v>4942</v>
      </c>
      <c r="O58" s="268"/>
      <c r="P58" s="268">
        <f t="shared" si="3"/>
        <v>29108</v>
      </c>
      <c r="Q58" s="270">
        <v>0</v>
      </c>
      <c r="R58" s="272" t="s">
        <v>46</v>
      </c>
    </row>
    <row r="59" spans="2:18" ht="27" customHeight="1">
      <c r="B59" s="271">
        <v>46085</v>
      </c>
      <c r="C59" s="269">
        <v>46090</v>
      </c>
      <c r="D59" s="270">
        <v>5</v>
      </c>
      <c r="E59" s="270">
        <f t="shared" si="2"/>
        <v>10</v>
      </c>
      <c r="F59" s="270" t="s">
        <v>132</v>
      </c>
      <c r="G59" s="270" t="s">
        <v>43</v>
      </c>
      <c r="H59" s="270">
        <v>1</v>
      </c>
      <c r="I59" s="270" t="s">
        <v>591</v>
      </c>
      <c r="J59" s="270" t="s">
        <v>592</v>
      </c>
      <c r="K59" s="270">
        <v>2</v>
      </c>
      <c r="L59" s="270">
        <v>0</v>
      </c>
      <c r="M59" s="268">
        <v>139296</v>
      </c>
      <c r="N59" s="268">
        <v>23884</v>
      </c>
      <c r="O59" s="268"/>
      <c r="P59" s="268">
        <f t="shared" si="3"/>
        <v>115412</v>
      </c>
      <c r="Q59" s="270">
        <v>0</v>
      </c>
      <c r="R59" s="272" t="s">
        <v>46</v>
      </c>
    </row>
    <row r="60" spans="2:18" ht="27" customHeight="1">
      <c r="B60" s="271">
        <v>46086</v>
      </c>
      <c r="C60" s="269">
        <v>46089</v>
      </c>
      <c r="D60" s="270">
        <v>3</v>
      </c>
      <c r="E60" s="270">
        <f t="shared" si="2"/>
        <v>9</v>
      </c>
      <c r="F60" s="270" t="s">
        <v>132</v>
      </c>
      <c r="G60" s="270" t="s">
        <v>71</v>
      </c>
      <c r="H60" s="270">
        <v>1</v>
      </c>
      <c r="I60" s="270" t="s">
        <v>593</v>
      </c>
      <c r="J60" s="270" t="s">
        <v>366</v>
      </c>
      <c r="K60" s="270">
        <v>3</v>
      </c>
      <c r="L60" s="270">
        <v>0</v>
      </c>
      <c r="M60" s="268">
        <v>109707</v>
      </c>
      <c r="N60" s="268">
        <v>18559</v>
      </c>
      <c r="O60" s="268"/>
      <c r="P60" s="268">
        <f t="shared" si="3"/>
        <v>91148</v>
      </c>
      <c r="Q60" s="270">
        <v>0</v>
      </c>
      <c r="R60" s="272" t="s">
        <v>46</v>
      </c>
    </row>
    <row r="61" spans="2:18" ht="27" customHeight="1">
      <c r="B61" s="271">
        <v>46098</v>
      </c>
      <c r="C61" s="269">
        <v>46100</v>
      </c>
      <c r="D61" s="270">
        <v>2</v>
      </c>
      <c r="E61" s="270">
        <f t="shared" si="2"/>
        <v>4</v>
      </c>
      <c r="F61" s="270" t="s">
        <v>132</v>
      </c>
      <c r="G61" s="270" t="s">
        <v>54</v>
      </c>
      <c r="H61" s="270">
        <v>1</v>
      </c>
      <c r="I61" s="270" t="s">
        <v>594</v>
      </c>
      <c r="J61" s="270" t="s">
        <v>67</v>
      </c>
      <c r="K61" s="270">
        <v>2</v>
      </c>
      <c r="L61" s="270">
        <v>0</v>
      </c>
      <c r="M61" s="268">
        <v>28560</v>
      </c>
      <c r="N61" s="268">
        <v>3954</v>
      </c>
      <c r="O61" s="268"/>
      <c r="P61" s="268">
        <f t="shared" si="3"/>
        <v>24606</v>
      </c>
      <c r="Q61" s="270">
        <v>0</v>
      </c>
      <c r="R61" s="272" t="s">
        <v>46</v>
      </c>
    </row>
    <row r="62" spans="2:18" ht="27" customHeight="1">
      <c r="B62" s="271">
        <v>46108</v>
      </c>
      <c r="C62" s="269">
        <v>46110</v>
      </c>
      <c r="D62" s="270">
        <v>2</v>
      </c>
      <c r="E62" s="270">
        <f t="shared" si="2"/>
        <v>6</v>
      </c>
      <c r="F62" s="270" t="s">
        <v>132</v>
      </c>
      <c r="G62" s="270" t="s">
        <v>49</v>
      </c>
      <c r="H62" s="270">
        <v>1</v>
      </c>
      <c r="I62" s="270" t="s">
        <v>595</v>
      </c>
      <c r="J62" s="270" t="s">
        <v>366</v>
      </c>
      <c r="K62" s="270">
        <v>3</v>
      </c>
      <c r="L62" s="270">
        <v>0</v>
      </c>
      <c r="M62" s="268">
        <v>104062</v>
      </c>
      <c r="N62" s="268">
        <v>17542</v>
      </c>
      <c r="O62" s="268"/>
      <c r="P62" s="268">
        <f t="shared" si="3"/>
        <v>86520</v>
      </c>
      <c r="Q62" s="270">
        <v>0</v>
      </c>
      <c r="R62" s="272" t="s">
        <v>46</v>
      </c>
    </row>
    <row r="63" spans="2:18" ht="27" customHeight="1">
      <c r="B63" s="271">
        <v>46108</v>
      </c>
      <c r="C63" s="269">
        <v>46112</v>
      </c>
      <c r="D63" s="270">
        <v>4</v>
      </c>
      <c r="E63" s="270">
        <f t="shared" si="2"/>
        <v>16</v>
      </c>
      <c r="F63" s="270" t="s">
        <v>132</v>
      </c>
      <c r="G63" s="270" t="s">
        <v>71</v>
      </c>
      <c r="H63" s="270">
        <v>1</v>
      </c>
      <c r="I63" s="270" t="s">
        <v>596</v>
      </c>
      <c r="J63" s="270" t="s">
        <v>375</v>
      </c>
      <c r="K63" s="270">
        <v>4</v>
      </c>
      <c r="L63" s="270">
        <v>0</v>
      </c>
      <c r="M63" s="268">
        <v>264361</v>
      </c>
      <c r="N63" s="268">
        <v>46397</v>
      </c>
      <c r="O63" s="268"/>
      <c r="P63" s="268">
        <f t="shared" si="3"/>
        <v>217964</v>
      </c>
      <c r="Q63" s="270">
        <v>0</v>
      </c>
      <c r="R63" s="272" t="s">
        <v>46</v>
      </c>
    </row>
    <row r="64" spans="2:18" ht="27" customHeight="1">
      <c r="B64" s="271">
        <v>46089</v>
      </c>
      <c r="C64" s="269">
        <v>46091</v>
      </c>
      <c r="D64" s="270">
        <v>2</v>
      </c>
      <c r="E64" s="270">
        <f t="shared" si="2"/>
        <v>6</v>
      </c>
      <c r="F64" s="270" t="s">
        <v>42</v>
      </c>
      <c r="G64" s="270" t="s">
        <v>54</v>
      </c>
      <c r="H64" s="270">
        <v>1</v>
      </c>
      <c r="I64" s="270" t="s">
        <v>597</v>
      </c>
      <c r="J64" s="270" t="s">
        <v>57</v>
      </c>
      <c r="K64" s="270">
        <v>3</v>
      </c>
      <c r="L64" s="270">
        <v>0</v>
      </c>
      <c r="M64" s="268">
        <v>61506</v>
      </c>
      <c r="N64" s="268">
        <v>7380</v>
      </c>
      <c r="O64" s="268"/>
      <c r="P64" s="268">
        <f t="shared" si="3"/>
        <v>54126</v>
      </c>
      <c r="Q64" s="270">
        <v>0</v>
      </c>
      <c r="R64" s="272" t="s">
        <v>46</v>
      </c>
    </row>
    <row r="65" spans="2:18" ht="27" customHeight="1">
      <c r="B65" s="271">
        <v>46081</v>
      </c>
      <c r="C65" s="269">
        <v>46082</v>
      </c>
      <c r="D65" s="270">
        <v>1</v>
      </c>
      <c r="E65" s="270">
        <f t="shared" si="2"/>
        <v>2</v>
      </c>
      <c r="F65" s="270" t="s">
        <v>239</v>
      </c>
      <c r="G65" s="270" t="s">
        <v>49</v>
      </c>
      <c r="H65" s="270">
        <v>1</v>
      </c>
      <c r="I65" s="270" t="s">
        <v>598</v>
      </c>
      <c r="J65" s="270" t="s">
        <v>67</v>
      </c>
      <c r="K65" s="270">
        <v>2</v>
      </c>
      <c r="L65" s="270">
        <v>0</v>
      </c>
      <c r="M65" s="268">
        <v>20850</v>
      </c>
      <c r="N65" s="268">
        <v>2293</v>
      </c>
      <c r="O65" s="268">
        <v>801</v>
      </c>
      <c r="P65" s="268">
        <f>M65-N65-O65-Q65</f>
        <v>16716</v>
      </c>
      <c r="Q65" s="270">
        <v>1040</v>
      </c>
      <c r="R65" s="272" t="s">
        <v>46</v>
      </c>
    </row>
    <row r="66" spans="2:18" ht="27" customHeight="1">
      <c r="B66" s="271">
        <v>46086</v>
      </c>
      <c r="C66" s="269">
        <v>46091</v>
      </c>
      <c r="D66" s="270">
        <v>5</v>
      </c>
      <c r="E66" s="270">
        <f t="shared" si="2"/>
        <v>15</v>
      </c>
      <c r="F66" s="270" t="s">
        <v>136</v>
      </c>
      <c r="G66" s="270" t="s">
        <v>71</v>
      </c>
      <c r="H66" s="270">
        <v>1</v>
      </c>
      <c r="I66" s="270" t="s">
        <v>599</v>
      </c>
      <c r="J66" s="270" t="s">
        <v>45</v>
      </c>
      <c r="K66" s="270">
        <v>3</v>
      </c>
      <c r="L66" s="270">
        <v>0</v>
      </c>
      <c r="M66" s="268">
        <v>192160</v>
      </c>
      <c r="N66" s="268">
        <v>22340</v>
      </c>
      <c r="O66" s="268"/>
      <c r="P66" s="268">
        <f>M66-N66-O66-Q66</f>
        <v>169820</v>
      </c>
      <c r="Q66" s="270">
        <v>0</v>
      </c>
      <c r="R66" s="272" t="s">
        <v>46</v>
      </c>
    </row>
    <row r="67" spans="2:18" ht="27" customHeight="1" thickBot="1">
      <c r="B67" s="273">
        <v>46108</v>
      </c>
      <c r="C67" s="274">
        <v>46111</v>
      </c>
      <c r="D67" s="275">
        <v>3</v>
      </c>
      <c r="E67" s="275">
        <f t="shared" si="2"/>
        <v>12</v>
      </c>
      <c r="F67" s="275" t="s">
        <v>315</v>
      </c>
      <c r="G67" s="275" t="s">
        <v>54</v>
      </c>
      <c r="H67" s="275">
        <v>1</v>
      </c>
      <c r="I67" s="275" t="s">
        <v>600</v>
      </c>
      <c r="J67" s="275" t="s">
        <v>67</v>
      </c>
      <c r="K67" s="275">
        <v>3</v>
      </c>
      <c r="L67" s="275">
        <v>1</v>
      </c>
      <c r="M67" s="276">
        <v>146400</v>
      </c>
      <c r="N67" s="276">
        <v>13176</v>
      </c>
      <c r="O67" s="276"/>
      <c r="P67" s="276">
        <f>M67-N67-O67-Q67</f>
        <v>132024</v>
      </c>
      <c r="Q67" s="275">
        <v>1200</v>
      </c>
      <c r="R67" s="277" t="s">
        <v>601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D42-51FC-DC47-8444-F222400FF8E9}">
  <sheetPr>
    <tabColor rgb="FF00B050"/>
    <pageSetUpPr fitToPage="1"/>
  </sheetPr>
  <dimension ref="B2:W31"/>
  <sheetViews>
    <sheetView zoomScale="65" workbookViewId="0">
      <selection activeCell="Q39" sqref="Q39"/>
    </sheetView>
  </sheetViews>
  <sheetFormatPr baseColWidth="10" defaultRowHeight="16"/>
  <cols>
    <col min="2" max="2" width="29.83203125" customWidth="1"/>
    <col min="3" max="3" width="15" customWidth="1"/>
    <col min="4" max="4" width="2.5" customWidth="1"/>
    <col min="5" max="5" width="14.6640625" customWidth="1"/>
    <col min="6" max="8" width="16.1640625" customWidth="1"/>
    <col min="14" max="14" width="0" hidden="1" customWidth="1"/>
    <col min="15" max="15" width="15.6640625" customWidth="1"/>
  </cols>
  <sheetData>
    <row r="2" spans="2:23" ht="39">
      <c r="B2" s="440" t="s">
        <v>602</v>
      </c>
      <c r="C2" s="441"/>
      <c r="D2" s="441"/>
      <c r="E2" s="442"/>
      <c r="F2" s="442"/>
      <c r="G2" s="442"/>
      <c r="H2" s="443"/>
      <c r="I2" s="96"/>
      <c r="J2" s="101" t="s">
        <v>499</v>
      </c>
      <c r="K2" s="102" t="s">
        <v>500</v>
      </c>
      <c r="L2" s="103" t="s">
        <v>476</v>
      </c>
      <c r="M2" s="194" t="s">
        <v>501</v>
      </c>
      <c r="N2" s="104"/>
      <c r="O2" s="105" t="s">
        <v>477</v>
      </c>
      <c r="P2" s="106" t="s">
        <v>502</v>
      </c>
      <c r="Q2" s="106" t="s">
        <v>484</v>
      </c>
      <c r="R2" s="106" t="s">
        <v>480</v>
      </c>
      <c r="S2" s="106" t="s">
        <v>483</v>
      </c>
      <c r="T2" s="106" t="s">
        <v>493</v>
      </c>
      <c r="U2" s="107" t="s">
        <v>494</v>
      </c>
      <c r="V2" s="107" t="s">
        <v>495</v>
      </c>
      <c r="W2" s="108" t="s">
        <v>496</v>
      </c>
    </row>
    <row r="3" spans="2:23">
      <c r="B3" s="261" t="s">
        <v>465</v>
      </c>
      <c r="C3" s="261"/>
      <c r="D3" s="75"/>
      <c r="E3" s="262" t="s">
        <v>466</v>
      </c>
      <c r="F3" s="263"/>
      <c r="G3" s="263"/>
      <c r="H3" s="264"/>
      <c r="I3" s="96"/>
      <c r="J3" s="109">
        <v>101</v>
      </c>
      <c r="K3" s="446">
        <f>R3/Q3</f>
        <v>2.4078947368421053</v>
      </c>
      <c r="L3" s="450">
        <v>3</v>
      </c>
      <c r="M3" s="452">
        <v>29.9</v>
      </c>
      <c r="N3" s="110">
        <f>L3*M3</f>
        <v>89.699999999999989</v>
      </c>
      <c r="O3" s="454">
        <v>1856839</v>
      </c>
      <c r="P3" s="456">
        <f>Q3/(L3*C22)*100%</f>
        <v>0.81720430107526887</v>
      </c>
      <c r="Q3" s="460">
        <v>76</v>
      </c>
      <c r="R3" s="460">
        <v>183</v>
      </c>
      <c r="S3" s="460">
        <f>L3*C22</f>
        <v>93</v>
      </c>
      <c r="T3" s="454">
        <f>O3/Q3</f>
        <v>24432.092105263157</v>
      </c>
      <c r="U3" s="454">
        <f>O3/R3</f>
        <v>10146.661202185793</v>
      </c>
      <c r="V3" s="454">
        <f>O3/S3</f>
        <v>19966.010752688173</v>
      </c>
      <c r="W3" s="462">
        <f>IFERROR(O3/(N3*C22),0)</f>
        <v>667.75955694609274</v>
      </c>
    </row>
    <row r="4" spans="2:23">
      <c r="B4" s="79" t="s">
        <v>467</v>
      </c>
      <c r="C4" s="80" t="s">
        <v>468</v>
      </c>
      <c r="D4" s="75"/>
      <c r="E4" s="81" t="s">
        <v>469</v>
      </c>
      <c r="F4" s="82" t="s">
        <v>470</v>
      </c>
      <c r="G4" s="82" t="s">
        <v>471</v>
      </c>
      <c r="H4" s="83" t="s">
        <v>472</v>
      </c>
      <c r="I4" s="96"/>
      <c r="J4" s="111">
        <v>201</v>
      </c>
      <c r="K4" s="447"/>
      <c r="L4" s="451"/>
      <c r="M4" s="453"/>
      <c r="N4" s="87"/>
      <c r="O4" s="455"/>
      <c r="P4" s="457"/>
      <c r="Q4" s="461"/>
      <c r="R4" s="461"/>
      <c r="S4" s="461"/>
      <c r="T4" s="455"/>
      <c r="U4" s="455"/>
      <c r="V4" s="455"/>
      <c r="W4" s="463"/>
    </row>
    <row r="5" spans="2:23">
      <c r="B5" s="84" t="s">
        <v>473</v>
      </c>
      <c r="C5" s="85">
        <v>46082</v>
      </c>
      <c r="D5" s="75"/>
      <c r="E5" s="84" t="s">
        <v>96</v>
      </c>
      <c r="F5" s="86">
        <v>1555150</v>
      </c>
      <c r="G5" s="87">
        <v>9</v>
      </c>
      <c r="H5" s="265">
        <f>IFERROR(F5/F13,0)</f>
        <v>0.22069950311213049</v>
      </c>
      <c r="I5" s="96"/>
      <c r="J5" s="111">
        <v>301</v>
      </c>
      <c r="K5" s="448"/>
      <c r="L5" s="451"/>
      <c r="M5" s="453"/>
      <c r="N5" s="87"/>
      <c r="O5" s="455"/>
      <c r="P5" s="458"/>
      <c r="Q5" s="461"/>
      <c r="R5" s="461"/>
      <c r="S5" s="461"/>
      <c r="T5" s="455"/>
      <c r="U5" s="455"/>
      <c r="V5" s="455"/>
      <c r="W5" s="463"/>
    </row>
    <row r="6" spans="2:23">
      <c r="B6" s="84" t="s">
        <v>474</v>
      </c>
      <c r="C6" s="85">
        <v>46112</v>
      </c>
      <c r="D6" s="75"/>
      <c r="E6" s="84" t="s">
        <v>119</v>
      </c>
      <c r="F6" s="86">
        <v>4271321</v>
      </c>
      <c r="G6" s="87">
        <v>44</v>
      </c>
      <c r="H6" s="265">
        <f>IFERROR(F6/F13,0)</f>
        <v>0.60616559324335817</v>
      </c>
      <c r="I6" s="96"/>
      <c r="J6" s="111">
        <v>102</v>
      </c>
      <c r="K6" s="449">
        <f>R6/Q6</f>
        <v>2.622950819672131</v>
      </c>
      <c r="L6" s="451">
        <v>2</v>
      </c>
      <c r="M6" s="453">
        <v>36.700000000000003</v>
      </c>
      <c r="N6" s="87">
        <f>L6*M6</f>
        <v>73.400000000000006</v>
      </c>
      <c r="O6" s="455">
        <v>1628619</v>
      </c>
      <c r="P6" s="459">
        <f>Q6/S6*100%</f>
        <v>0.9838709677419355</v>
      </c>
      <c r="Q6" s="461">
        <v>61</v>
      </c>
      <c r="R6" s="461">
        <v>160</v>
      </c>
      <c r="S6" s="461">
        <f>L6*C22</f>
        <v>62</v>
      </c>
      <c r="T6" s="455">
        <f>O6/Q6</f>
        <v>26698.672131147541</v>
      </c>
      <c r="U6" s="455">
        <f>O6/R6</f>
        <v>10178.86875</v>
      </c>
      <c r="V6" s="455">
        <f>O6/S6</f>
        <v>26268.048387096773</v>
      </c>
      <c r="W6" s="463">
        <f>IFERROR(O6/(N6*C22),0)</f>
        <v>715.75063725059329</v>
      </c>
    </row>
    <row r="7" spans="2:23">
      <c r="B7" s="84" t="s">
        <v>475</v>
      </c>
      <c r="C7" s="89">
        <v>356</v>
      </c>
      <c r="D7" s="75"/>
      <c r="E7" s="84" t="s">
        <v>42</v>
      </c>
      <c r="F7" s="86">
        <v>61506</v>
      </c>
      <c r="G7" s="87">
        <v>1</v>
      </c>
      <c r="H7" s="265">
        <f>IFERROR(F7/F13,0)</f>
        <v>8.7286394485513938E-3</v>
      </c>
      <c r="I7" s="96"/>
      <c r="J7" s="111">
        <v>402</v>
      </c>
      <c r="K7" s="448"/>
      <c r="L7" s="451"/>
      <c r="M7" s="453"/>
      <c r="N7" s="87"/>
      <c r="O7" s="455"/>
      <c r="P7" s="458"/>
      <c r="Q7" s="461"/>
      <c r="R7" s="461"/>
      <c r="S7" s="461"/>
      <c r="T7" s="455"/>
      <c r="U7" s="455"/>
      <c r="V7" s="455"/>
      <c r="W7" s="463"/>
    </row>
    <row r="8" spans="2:23">
      <c r="B8" s="84" t="s">
        <v>476</v>
      </c>
      <c r="C8" s="89">
        <v>9</v>
      </c>
      <c r="D8" s="75"/>
      <c r="E8" s="90" t="s">
        <v>132</v>
      </c>
      <c r="F8" s="86">
        <v>799072</v>
      </c>
      <c r="G8" s="87">
        <v>7</v>
      </c>
      <c r="H8" s="265">
        <f>IFERROR(F8/F13,0)</f>
        <v>0.11340050371399309</v>
      </c>
      <c r="I8" s="96"/>
      <c r="J8" s="111">
        <v>202</v>
      </c>
      <c r="K8" s="449">
        <f>R8/Q8</f>
        <v>3.4</v>
      </c>
      <c r="L8" s="451">
        <v>2</v>
      </c>
      <c r="M8" s="453">
        <v>43.1</v>
      </c>
      <c r="N8" s="87">
        <f>L8*M8</f>
        <v>86.2</v>
      </c>
      <c r="O8" s="455">
        <v>1930427</v>
      </c>
      <c r="P8" s="459">
        <f>Q8/S8*100%</f>
        <v>0.80645161290322576</v>
      </c>
      <c r="Q8" s="461">
        <v>50</v>
      </c>
      <c r="R8" s="461">
        <v>170</v>
      </c>
      <c r="S8" s="461">
        <f>L8*C22</f>
        <v>62</v>
      </c>
      <c r="T8" s="455">
        <f>O8/Q8</f>
        <v>38608.54</v>
      </c>
      <c r="U8" s="455">
        <f>O8/R8</f>
        <v>11355.452941176471</v>
      </c>
      <c r="V8" s="455">
        <f>O8/S8</f>
        <v>31135.919354838708</v>
      </c>
      <c r="W8" s="463">
        <f>IFERROR(O8/(N8*C22),0)</f>
        <v>722.41112192201172</v>
      </c>
    </row>
    <row r="9" spans="2:23">
      <c r="B9" s="84" t="s">
        <v>477</v>
      </c>
      <c r="C9" s="91">
        <f>'2026年３月予約一覧表'!M2</f>
        <v>7046459</v>
      </c>
      <c r="D9" s="75"/>
      <c r="E9" s="90" t="s">
        <v>159</v>
      </c>
      <c r="F9" s="86">
        <v>20850</v>
      </c>
      <c r="G9" s="87">
        <v>1</v>
      </c>
      <c r="H9" s="265">
        <f>IFERROR(F9/F13,0)</f>
        <v>2.9589329903147096E-3</v>
      </c>
      <c r="I9" s="96"/>
      <c r="J9" s="111">
        <v>302</v>
      </c>
      <c r="K9" s="448"/>
      <c r="L9" s="451"/>
      <c r="M9" s="453"/>
      <c r="N9" s="87"/>
      <c r="O9" s="455"/>
      <c r="P9" s="458"/>
      <c r="Q9" s="461"/>
      <c r="R9" s="461"/>
      <c r="S9" s="461"/>
      <c r="T9" s="455"/>
      <c r="U9" s="455"/>
      <c r="V9" s="455"/>
      <c r="W9" s="463"/>
    </row>
    <row r="10" spans="2:23">
      <c r="B10" s="84" t="s">
        <v>478</v>
      </c>
      <c r="C10" s="89">
        <f>'2026年３月予約一覧表'!K2+'2026年３月予約一覧表'!L2</f>
        <v>179</v>
      </c>
      <c r="D10" s="75"/>
      <c r="E10" s="90" t="s">
        <v>479</v>
      </c>
      <c r="F10" s="86">
        <v>146400</v>
      </c>
      <c r="G10" s="87">
        <v>1</v>
      </c>
      <c r="H10" s="265">
        <f>IFERROR(F10/F13,0)</f>
        <v>2.0776392795303286E-2</v>
      </c>
      <c r="I10" s="96"/>
      <c r="J10" s="111">
        <v>403</v>
      </c>
      <c r="K10" s="116">
        <f>R10/Q10</f>
        <v>2.8461538461538463</v>
      </c>
      <c r="L10" s="112">
        <v>1</v>
      </c>
      <c r="M10" s="87">
        <v>46.64</v>
      </c>
      <c r="N10" s="87"/>
      <c r="O10" s="86">
        <v>818124</v>
      </c>
      <c r="P10" s="117">
        <f>Q10/S10*100%</f>
        <v>0.83870967741935487</v>
      </c>
      <c r="Q10" s="113">
        <v>26</v>
      </c>
      <c r="R10" s="113">
        <v>74</v>
      </c>
      <c r="S10" s="113">
        <f>L10*C22</f>
        <v>31</v>
      </c>
      <c r="T10" s="86">
        <f>O10/Q10</f>
        <v>31466.307692307691</v>
      </c>
      <c r="U10" s="86">
        <f>O10/R10</f>
        <v>11055.72972972973</v>
      </c>
      <c r="V10" s="86">
        <f>O10/S10</f>
        <v>26391.096774193549</v>
      </c>
      <c r="W10" s="114">
        <f>IFERROR(O10/(M10*C22),0)</f>
        <v>565.84684335749466</v>
      </c>
    </row>
    <row r="11" spans="2:23">
      <c r="B11" s="84" t="s">
        <v>480</v>
      </c>
      <c r="C11" s="89">
        <f>'2026年３月予約一覧表'!E2</f>
        <v>680</v>
      </c>
      <c r="D11" s="75"/>
      <c r="E11" s="90" t="s">
        <v>239</v>
      </c>
      <c r="F11" s="86">
        <v>192160</v>
      </c>
      <c r="G11" s="87">
        <v>1</v>
      </c>
      <c r="H11" s="265">
        <f>IFERROR(F11/F13,0)</f>
        <v>2.7270434696348905E-2</v>
      </c>
      <c r="I11" s="96"/>
      <c r="J11" s="118">
        <v>401</v>
      </c>
      <c r="K11" s="119">
        <f>R11/Q11</f>
        <v>3.4444444444444446</v>
      </c>
      <c r="L11" s="120">
        <v>1</v>
      </c>
      <c r="M11" s="121">
        <v>60.22</v>
      </c>
      <c r="N11" s="121"/>
      <c r="O11" s="122">
        <v>812450</v>
      </c>
      <c r="P11" s="115">
        <f>Q11/S11*100%</f>
        <v>0.87096774193548387</v>
      </c>
      <c r="Q11" s="123">
        <v>27</v>
      </c>
      <c r="R11" s="123">
        <v>93</v>
      </c>
      <c r="S11" s="123">
        <f>L11*C22</f>
        <v>31</v>
      </c>
      <c r="T11" s="122">
        <f>O11/Q11</f>
        <v>30090.740740740741</v>
      </c>
      <c r="U11" s="122">
        <f>O11/R11</f>
        <v>8736.0215053763441</v>
      </c>
      <c r="V11" s="122">
        <f>O11/S11</f>
        <v>26208.064516129034</v>
      </c>
      <c r="W11" s="124">
        <f>IFERROR(O11/(M11*C22),0)</f>
        <v>435.20532241994408</v>
      </c>
    </row>
    <row r="12" spans="2:23">
      <c r="B12" s="84" t="s">
        <v>481</v>
      </c>
      <c r="C12" s="89">
        <v>9</v>
      </c>
      <c r="D12" s="75"/>
      <c r="E12" s="84" t="s">
        <v>482</v>
      </c>
      <c r="F12" s="239">
        <v>0</v>
      </c>
      <c r="G12" s="241">
        <v>0</v>
      </c>
      <c r="H12" s="291">
        <f>IFERROR(F12/F13,0)</f>
        <v>0</v>
      </c>
      <c r="I12" s="96"/>
      <c r="J12" s="101"/>
      <c r="K12" s="125"/>
      <c r="L12" s="126">
        <f>SUM(L3:L11)</f>
        <v>9</v>
      </c>
      <c r="M12" s="127">
        <f>(M3*L3)+(L6*M6)+(L8*M8)+M10+M11</f>
        <v>356.15999999999997</v>
      </c>
      <c r="N12" s="127"/>
      <c r="O12" s="128">
        <f>SUM(O3:O11)</f>
        <v>7046459</v>
      </c>
      <c r="P12" s="129"/>
      <c r="Q12" s="130">
        <f>SUM(Q3:Q11)</f>
        <v>240</v>
      </c>
      <c r="R12" s="130">
        <f>SUM(R3:R11)</f>
        <v>680</v>
      </c>
      <c r="S12" s="130">
        <f>SUM(S3:S11)</f>
        <v>279</v>
      </c>
      <c r="T12" s="128"/>
      <c r="U12" s="128"/>
      <c r="V12" s="128"/>
      <c r="W12" s="131"/>
    </row>
    <row r="13" spans="2:23">
      <c r="B13" s="84" t="s">
        <v>483</v>
      </c>
      <c r="C13" s="89">
        <f>C8*C22</f>
        <v>279</v>
      </c>
      <c r="D13" s="75"/>
      <c r="E13" s="92" t="s">
        <v>160</v>
      </c>
      <c r="F13" s="93">
        <f>SUM(F5:F12)</f>
        <v>7046459</v>
      </c>
      <c r="G13" s="94">
        <f>SUM(G5:G12)</f>
        <v>64</v>
      </c>
      <c r="H13" s="95">
        <f>SUM(H5:H12)</f>
        <v>1</v>
      </c>
      <c r="I13" s="96"/>
      <c r="J13" s="96"/>
      <c r="K13" s="96"/>
      <c r="L13" s="96"/>
      <c r="M13" s="96"/>
      <c r="N13" s="96"/>
      <c r="O13" s="96"/>
      <c r="P13" s="138"/>
      <c r="Q13" s="139"/>
      <c r="R13" s="96"/>
      <c r="S13" s="96"/>
      <c r="T13" s="96"/>
      <c r="U13" s="96"/>
      <c r="V13" s="96"/>
      <c r="W13" s="96"/>
    </row>
    <row r="14" spans="2:23">
      <c r="B14" s="84" t="s">
        <v>484</v>
      </c>
      <c r="C14" s="89">
        <f>'2026年３月予約一覧表'!D2</f>
        <v>240</v>
      </c>
      <c r="D14" s="7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spans="2:23">
      <c r="B15" s="84" t="s">
        <v>485</v>
      </c>
      <c r="C15" s="89">
        <v>38</v>
      </c>
      <c r="D15" s="75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spans="2:23">
      <c r="B16" s="84" t="s">
        <v>486</v>
      </c>
      <c r="C16" s="89">
        <f>'2026年３月予約一覧表'!H2</f>
        <v>64</v>
      </c>
      <c r="D16" s="7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</row>
    <row r="17" spans="2:23">
      <c r="B17" s="92" t="s">
        <v>487</v>
      </c>
      <c r="C17" s="97">
        <v>160</v>
      </c>
      <c r="D17" s="75"/>
      <c r="E17" s="96"/>
      <c r="F17" s="75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</row>
    <row r="18" spans="2:23">
      <c r="B18" s="98" t="s">
        <v>488</v>
      </c>
      <c r="C18" s="75"/>
      <c r="D18" s="75"/>
      <c r="E18" s="96"/>
      <c r="F18" s="75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</row>
    <row r="19" spans="2:23">
      <c r="B19" s="98" t="s">
        <v>489</v>
      </c>
      <c r="C19" s="75"/>
      <c r="D19" s="75"/>
      <c r="E19" s="96"/>
      <c r="F19" s="75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spans="2:23">
      <c r="B20" s="75"/>
      <c r="C20" s="75"/>
      <c r="D20" s="75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spans="2:23">
      <c r="B21" s="266" t="s">
        <v>490</v>
      </c>
      <c r="C21" s="266"/>
      <c r="D21" s="75"/>
      <c r="E21" s="75"/>
      <c r="F21" s="75"/>
      <c r="G21" s="75"/>
      <c r="H21" s="75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spans="2:23">
      <c r="B22" s="79" t="s">
        <v>491</v>
      </c>
      <c r="C22" s="80">
        <f>DATEDIF(C5,C6,"D")+1</f>
        <v>31</v>
      </c>
      <c r="D22" s="75"/>
      <c r="E22" s="75"/>
      <c r="F22" s="75"/>
      <c r="G22" s="75"/>
      <c r="H22" s="7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spans="2:23">
      <c r="B23" s="84" t="s">
        <v>492</v>
      </c>
      <c r="C23" s="100">
        <f>IFERROR(C14/C13,0)</f>
        <v>0.86021505376344087</v>
      </c>
      <c r="D23" s="75"/>
      <c r="E23" s="75"/>
      <c r="F23" s="96"/>
      <c r="G23" s="75"/>
      <c r="H23" s="75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spans="2:23">
      <c r="B24" s="84" t="s">
        <v>493</v>
      </c>
      <c r="C24" s="91">
        <f>IFERROR(C9/C14,0)</f>
        <v>29360.245833333334</v>
      </c>
      <c r="D24" s="75"/>
      <c r="E24" s="75"/>
      <c r="G24" s="75"/>
      <c r="H24" s="75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spans="2:23">
      <c r="B25" s="84" t="s">
        <v>494</v>
      </c>
      <c r="C25" s="91">
        <f>IFERROR(C9/C11,0)</f>
        <v>10362.439705882352</v>
      </c>
      <c r="D25" s="75"/>
      <c r="E25" s="75"/>
      <c r="F25" s="75"/>
      <c r="G25" s="75"/>
      <c r="H25" s="7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spans="2:23">
      <c r="B26" s="84" t="s">
        <v>495</v>
      </c>
      <c r="C26" s="91">
        <f>IFERROR(C9/C13,0)</f>
        <v>25256.125448028673</v>
      </c>
      <c r="D26" s="75"/>
      <c r="E26" s="75"/>
      <c r="F26" s="75"/>
      <c r="G26" s="75"/>
      <c r="H26" s="7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spans="2:23">
      <c r="B27" s="84" t="s">
        <v>496</v>
      </c>
      <c r="C27" s="91">
        <f>IFERROR(C9/(C7*C22),0)</f>
        <v>638.49755346139909</v>
      </c>
      <c r="D27" s="75"/>
      <c r="E27" s="75"/>
      <c r="F27" s="75"/>
      <c r="G27" s="75"/>
      <c r="H27" s="75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spans="2:23">
      <c r="B28" s="84" t="s">
        <v>497</v>
      </c>
      <c r="C28" s="100">
        <f>IFERROR(C15/C16,0)</f>
        <v>0.59375</v>
      </c>
      <c r="D28" s="75"/>
      <c r="E28" s="75"/>
      <c r="F28" s="75"/>
      <c r="G28" s="75"/>
      <c r="H28" s="7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spans="2:23">
      <c r="B29" s="92" t="s">
        <v>498</v>
      </c>
      <c r="C29" s="200">
        <f>IFERROR(C17/(C14+C17),0)</f>
        <v>0.4</v>
      </c>
      <c r="D29" s="75"/>
      <c r="E29" s="75"/>
      <c r="F29" s="75"/>
      <c r="G29" s="75"/>
      <c r="H29" s="75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  <row r="30" spans="2:23">
      <c r="B30" s="75"/>
      <c r="C30" s="75"/>
      <c r="D30" s="75"/>
      <c r="E30" s="75"/>
      <c r="F30" s="75"/>
      <c r="G30" s="75"/>
      <c r="H30" s="75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</row>
    <row r="31" spans="2:23">
      <c r="B31" s="96"/>
      <c r="C31" s="7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3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総表</vt:lpstr>
      <vt:lpstr>2026年4月予約一覧表</vt:lpstr>
      <vt:lpstr>2026年月4分析データ表</vt:lpstr>
      <vt:lpstr>2025年10月予約一覧表</vt:lpstr>
      <vt:lpstr>2025年10月分析データ表</vt:lpstr>
      <vt:lpstr>2025年11月予約一覧表</vt:lpstr>
      <vt:lpstr>2025年11月分析データ表</vt:lpstr>
      <vt:lpstr>2025年12月予約一覧表</vt:lpstr>
      <vt:lpstr>2025年12月分析データ表</vt:lpstr>
      <vt:lpstr>2026年１月予約一覧表</vt:lpstr>
      <vt:lpstr>2026年1月分析データ表</vt:lpstr>
      <vt:lpstr>2026年2月予約一覧表</vt:lpstr>
      <vt:lpstr>2026年２月分析データ表</vt:lpstr>
      <vt:lpstr>2026年３月予約一覧表</vt:lpstr>
      <vt:lpstr>2026年3月分析データ表</vt:lpstr>
      <vt:lpstr>'2025年10月分析データ表'!Print_Area</vt:lpstr>
      <vt:lpstr>'2025年11月予約一覧表'!Print_Area</vt:lpstr>
      <vt:lpstr>'2025年11月分析データ表'!Print_Area</vt:lpstr>
      <vt:lpstr>'2025年12月分析データ表'!Print_Area</vt:lpstr>
      <vt:lpstr>'2026年1月分析データ表'!Print_Area</vt:lpstr>
      <vt:lpstr>'2026年２月分析データ表'!Print_Area</vt:lpstr>
      <vt:lpstr>'2026年3月分析データ表'!Print_Area</vt:lpstr>
      <vt:lpstr>'2026年月4分析データ表'!Print_Area</vt:lpstr>
      <vt:lpstr>総表!Print_Area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リゾート 舜日</dc:creator>
  <cp:lastModifiedBy>Frank benoit</cp:lastModifiedBy>
  <cp:lastPrinted>2026-05-25T08:17:03Z</cp:lastPrinted>
  <dcterms:created xsi:type="dcterms:W3CDTF">2026-04-11T04:20:39Z</dcterms:created>
  <dcterms:modified xsi:type="dcterms:W3CDTF">2026-06-04T07:25:04Z</dcterms:modified>
</cp:coreProperties>
</file>